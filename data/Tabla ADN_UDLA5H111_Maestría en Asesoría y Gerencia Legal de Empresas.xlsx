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laec.sharepoint.com/sites/PEA-DireccinEducacinenLnea/Shared Documents/General/Facultad de Derecho/Maestría Híbrida en Asesoría y Gerencia Legal/"/>
    </mc:Choice>
  </mc:AlternateContent>
  <xr:revisionPtr revIDLastSave="355" documentId="13_ncr:1_{02CB07D3-DD73-4342-AF25-6141E1DAF09F}" xr6:coauthVersionLast="47" xr6:coauthVersionMax="47" xr10:uidLastSave="{870A7950-2A2D-41B6-B607-9857981EFB4C}"/>
  <bookViews>
    <workbookView xWindow="-110" yWindow="-110" windowWidth="19420" windowHeight="10300" xr2:uid="{4BE58EC7-EF95-48AE-9837-257DEE54B2E3}"/>
  </bookViews>
  <sheets>
    <sheet name="UDLA5H111" sheetId="4" r:id="rId1"/>
    <sheet name="RP-RI" sheetId="7" state="hidden" r:id="rId2"/>
  </sheets>
  <definedNames>
    <definedName name="_xlnm._FilterDatabase" localSheetId="1" hidden="1">'RP-RI'!$D$25:$F$25</definedName>
    <definedName name="_xlnm._FilterDatabase" localSheetId="0" hidden="1">UDLA5H111!$B$8:$U$81</definedName>
    <definedName name="Assessment" comment="asignaturas Assessment">'RP-RI'!$F$26:$F$39</definedName>
    <definedName name="Formativa" comment="asignaturas formativas">'RP-RI'!$E$26:$E$28</definedName>
    <definedName name="SELE" comment="lista de selección">UDLA5H111!$S$10:$S$115</definedName>
    <definedName name="TIPO" comment="tipo de asignatura">'RP-RI'!$C$13:$C$14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0" i="4" l="1"/>
  <c r="N58" i="4"/>
  <c r="N64" i="4"/>
  <c r="N52" i="4"/>
  <c r="N10" i="4"/>
  <c r="O10" i="4" s="1"/>
  <c r="N76" i="4"/>
  <c r="O76" i="4" s="1"/>
  <c r="N16" i="4" l="1"/>
  <c r="O16" i="4" s="1"/>
  <c r="N22" i="4"/>
  <c r="O22" i="4" s="1"/>
  <c r="N28" i="4"/>
  <c r="O28" i="4" s="1"/>
  <c r="N34" i="4"/>
  <c r="O34" i="4" s="1"/>
  <c r="N40" i="4"/>
  <c r="O40" i="4" s="1"/>
  <c r="N46" i="4"/>
  <c r="O46" i="4" s="1"/>
  <c r="O52" i="4"/>
  <c r="O58" i="4"/>
  <c r="O6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tc={24CFB0A6-4405-416B-A411-99E206D30B53}</author>
    <author>tc={A7E0E47B-82D6-4EA6-94EF-B51AD82FF5DB}</author>
    <author>tc={9A96C5C7-BD20-4015-9797-693AD9A26CAB}</author>
    <author>tc={E9C9FA20-3AA7-4AD6-A733-0CAF71E2BA81}</author>
  </authors>
  <commentList>
    <comment ref="E10" authorId="0" shapeId="0" xr:uid="{24CFB0A6-4405-416B-A411-99E206D30B5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homologa con MGOZ6145 de la Maestría en Administración y Gerencia Organizacional. Reunión con Cristhian Castro. 23JUN2025
</t>
      </text>
    </comment>
    <comment ref="P16" authorId="1" shapeId="0" xr:uid="{A7E0E47B-82D6-4EA6-94EF-B51AD82FF5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Instalada bajo MAESTRÍA EN ADMINISTRACIÓN Y GERENCIA ORGANIZACIONAL </t>
      </text>
    </comment>
    <comment ref="E22" authorId="2" shapeId="0" xr:uid="{9A96C5C7-BD20-4015-9797-693AD9A26C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homologa con MGOZ6147 de la Maestría en Administración y Gerencia Organizacional. Reunión con Cristhian Castro. 23JUN2025</t>
      </text>
    </comment>
    <comment ref="T54" authorId="3" shapeId="0" xr:uid="{E9C9FA20-3AA7-4AD6-A733-0CAF71E2BA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Desarrollo de un contrato. Definido en reunión con Roque Albuja. 03ABR2025.</t>
      </text>
    </comment>
  </commentList>
</comments>
</file>

<file path=xl/sharedStrings.xml><?xml version="1.0" encoding="utf-8"?>
<sst xmlns="http://schemas.openxmlformats.org/spreadsheetml/2006/main" count="289" uniqueCount="144">
  <si>
    <t>Planificación ADN UDLA</t>
  </si>
  <si>
    <t>N.</t>
  </si>
  <si>
    <t>SEMESTRE</t>
  </si>
  <si>
    <t>Nivel</t>
  </si>
  <si>
    <t>SIGLA</t>
  </si>
  <si>
    <t>ASIGNATURA</t>
  </si>
  <si>
    <t>MODALIDAD</t>
  </si>
  <si>
    <t>RELACIÓN</t>
  </si>
  <si>
    <t>CRÉDITOS</t>
  </si>
  <si>
    <t xml:space="preserve">AUTÓNOMO
(Presesión) </t>
  </si>
  <si>
    <t>APRENDIZAJE PRÁCTICO EXPERIMENTAL
(Postsesión)</t>
  </si>
  <si>
    <t>CONTACTO CON EL DOCENTE
(Presencial o virtual)</t>
  </si>
  <si>
    <t>TOTAL HORAS</t>
  </si>
  <si>
    <t>CLASE</t>
  </si>
  <si>
    <t>RDA</t>
  </si>
  <si>
    <t>RP</t>
  </si>
  <si>
    <t>PMEA RP</t>
  </si>
  <si>
    <t>MDE RP</t>
  </si>
  <si>
    <t>IDE RP</t>
  </si>
  <si>
    <t>RI</t>
  </si>
  <si>
    <t>IDE RI</t>
  </si>
  <si>
    <t>PRESENCIAL</t>
  </si>
  <si>
    <t>VIRTUAL</t>
  </si>
  <si>
    <t>TOTAL</t>
  </si>
  <si>
    <t>I</t>
  </si>
  <si>
    <t>1 a 2</t>
  </si>
  <si>
    <t>PROPIA</t>
  </si>
  <si>
    <t>M</t>
  </si>
  <si>
    <t>F</t>
  </si>
  <si>
    <t>RI1 PENSAMIENTO CRÍTICO</t>
  </si>
  <si>
    <t>RI2 INNOVACIÓN Y CREATIVIDAD</t>
  </si>
  <si>
    <t>RI3 TRABAJO COLABORATIVO</t>
  </si>
  <si>
    <t>RI4 CIUDADANÍA Y VISIÓN GLOBAL</t>
  </si>
  <si>
    <t>RI5 COMUNICACIÓN EN ESPAÑOL</t>
  </si>
  <si>
    <t>RI6 COMUNICACIÓN EN INGLÉS</t>
  </si>
  <si>
    <t>RI7 ALFABETIZACIÓN DIGITAL</t>
  </si>
  <si>
    <t>RI8 RAZONAMIENTO CUANTITATIVO</t>
  </si>
  <si>
    <t>TIPO 1</t>
  </si>
  <si>
    <t>TIPO 2</t>
  </si>
  <si>
    <t>Formativa</t>
  </si>
  <si>
    <t>COMPARTIDA</t>
  </si>
  <si>
    <t>Assessment</t>
  </si>
  <si>
    <t>COMPARTIDA PROPIA</t>
  </si>
  <si>
    <t>ELECTIVA PROPIA</t>
  </si>
  <si>
    <t>ELECTIVA COMPARTIDA</t>
  </si>
  <si>
    <t>MDE GENERAL</t>
  </si>
  <si>
    <t>Foro</t>
  </si>
  <si>
    <t>Rúbrica</t>
  </si>
  <si>
    <t>Debate</t>
  </si>
  <si>
    <t>Check List</t>
  </si>
  <si>
    <t>Cuestionario de opción múltiple</t>
  </si>
  <si>
    <t>Numérico (Aplica solo para cuestionarios)</t>
  </si>
  <si>
    <t>Examen de preguntas abiertas</t>
  </si>
  <si>
    <t>RP1_PMEA</t>
  </si>
  <si>
    <t>Análisis de caso</t>
  </si>
  <si>
    <t>RP2_PMEA</t>
  </si>
  <si>
    <t>Portafolio</t>
  </si>
  <si>
    <t>RP3_PMEA</t>
  </si>
  <si>
    <t>Infografía</t>
  </si>
  <si>
    <t>RP4_PMEA</t>
  </si>
  <si>
    <t>Proyecto Integrador</t>
  </si>
  <si>
    <t>RP5_PMEA</t>
  </si>
  <si>
    <t>Cuadro comparativo</t>
  </si>
  <si>
    <t>RP6_PMEA</t>
  </si>
  <si>
    <t xml:space="preserve"> </t>
  </si>
  <si>
    <t>Role play</t>
  </si>
  <si>
    <t>RP7_PMEA</t>
  </si>
  <si>
    <t>Ejercicio práctico</t>
  </si>
  <si>
    <t>Simulación</t>
  </si>
  <si>
    <t>Maqueta</t>
  </si>
  <si>
    <t>Afiche, render u otro producto multimedia</t>
  </si>
  <si>
    <t>Grabación musical</t>
  </si>
  <si>
    <t>RI1_PMEA</t>
  </si>
  <si>
    <t>Video</t>
  </si>
  <si>
    <t>RI2_PMEA</t>
  </si>
  <si>
    <t>Presentación oral</t>
  </si>
  <si>
    <t>RI3_PMEA</t>
  </si>
  <si>
    <t>Otros</t>
  </si>
  <si>
    <t>RI4_PMEA</t>
  </si>
  <si>
    <t>RI5_PMEA</t>
  </si>
  <si>
    <t>RI6_PMEA</t>
  </si>
  <si>
    <t>RI7_PMEA</t>
  </si>
  <si>
    <t>RI8_PMEA</t>
  </si>
  <si>
    <t>En Línea</t>
  </si>
  <si>
    <t>Presencial</t>
  </si>
  <si>
    <t>ESTRATEGIA EMPRESARIAL</t>
  </si>
  <si>
    <t>ENTORNO ECONÓMICO</t>
  </si>
  <si>
    <t>GESTIÓN Y ANÁLISIS FINANCIERO</t>
  </si>
  <si>
    <t>GESTIÓN DE RIESGOS CORPORATIVOS</t>
  </si>
  <si>
    <t xml:space="preserve">ESTRATEGIAS LEGALES DE FINANCIAMIENTO EMPRESARIAL </t>
  </si>
  <si>
    <t>GESTIÓN INTEGRAL DE RECURSOS EMPRESARIALES</t>
  </si>
  <si>
    <t xml:space="preserve">GESTIÓN INTEGRAL DE RECURSOS HUMANOS </t>
  </si>
  <si>
    <t>NEGOCIOS JURÍDICOS EMPRESARIALES</t>
  </si>
  <si>
    <t>RESOLUCIÓN DE CONFLICTOS Y NEGOCIACIÓN EMPRESARIAL</t>
  </si>
  <si>
    <t>INNOVACIÓN Y TRANSFORMACIÓN LEGAL EMPRESARIAL</t>
  </si>
  <si>
    <t>HABILIDADES DE LIDERAZGO LEGAL</t>
  </si>
  <si>
    <t xml:space="preserve">PROYECTO DE TITULACIÓN </t>
  </si>
  <si>
    <t>MGOZ6146</t>
  </si>
  <si>
    <t>MAGL0003</t>
  </si>
  <si>
    <t>MAGL0004</t>
  </si>
  <si>
    <t>MAGL0005</t>
  </si>
  <si>
    <t>MAGL0007</t>
  </si>
  <si>
    <t>MAGL0008</t>
  </si>
  <si>
    <t>MAGL0009</t>
  </si>
  <si>
    <t>TTMZ1111</t>
  </si>
  <si>
    <t>TTMZ1112</t>
  </si>
  <si>
    <t>UDLA5H111-RP1 Integra conocimientos jurídicos, empresariales y financieros para elegir soluciones estratégicas frente a las implicaciones legales y éticas de las políticas y estrategias corporativas</t>
  </si>
  <si>
    <t>UDLA5H111-RP2 Dirige y organiza equipos de trabajo con integridad y responsabilidad social para optimizar la gestión de los recursos legales, aportando a la eficiencia corporativa, la prevención de conflictos y la generación de soluciones creativas</t>
  </si>
  <si>
    <t>UDLA5H111-RP3 Evalúa los cambios jurídicos y de mercado a los que están sujetos los negocios e interpreta datos legales, económicos y financieros para diseñar e implementar estrategias legales para el desarrollo y la protección de la empresa</t>
  </si>
  <si>
    <t>UDLA5H111-RP4 Gestiona la innovación tecnológica para optimizar los procesos legales y operativos en la empresa, garantizando el cumplimiento normativo y aportando a la generación de valor</t>
  </si>
  <si>
    <t>MAGL0001-RDA1 Utiliza marcos conceptuales y herramientas de análisis con el objetivo de desarrollar un plan estratégico para una organización.</t>
  </si>
  <si>
    <t>MAGL0001-RDA2 Diseña estrategias empresariales innovadoras que se alinean eficazmente con el entorno empresarial.</t>
  </si>
  <si>
    <t>MAGL0001-RDA3 Evalúa el éxito de las estrategias implementadas, mediante el uso de métricas de rendimiento y técnicas de evaluación, para proponer mejoras continuas.</t>
  </si>
  <si>
    <t>MGOZ6146-RDA1 Aplica los principios fundamentales de la economía y sus aplicaciones en el contexto empresarial.</t>
  </si>
  <si>
    <t>MGOZ6146-RDA2 Analiza datos económicos, indicadores y tendencias relevantes para la toma de decisiones empresariales.</t>
  </si>
  <si>
    <t>MAGL0002-RDA1 Aplica principios básicos de la contabilidad en la toma de decisiones empresariales.</t>
  </si>
  <si>
    <t>MAGL0002-RDA2 Diseña sistemas de control presupuestario adaptados a las necesidades específicas de una empresa.</t>
  </si>
  <si>
    <t>MAGL0002-RDA3 Toma decisiones estratégicas informadas, utilizando herramientas de contabilidad gerencial.</t>
  </si>
  <si>
    <t>MAGL0006</t>
  </si>
  <si>
    <t>MAGL0003-RDA1 Aplica los principios del compliance y la cultura del cumplimiento para reducir el riesgo legal empresarial</t>
  </si>
  <si>
    <t>MAGL0003-RDA2 Evalúa la probabilidad de ocurrencia de riesgos legales y su impacto en la empresa</t>
  </si>
  <si>
    <t>MAGL0003-RDA3 Diseña planes integrales de gestión de riesgo legal con el propósito de monitorear, mitigar y mejorar el cumplimiento normativo de la organización</t>
  </si>
  <si>
    <t>MAGL0004-RDA1 Analiza las estrategias legales fiscales, societarias y bursátiles y su impacto en la sostenibilidad y cumplimiento normativo de la organización</t>
  </si>
  <si>
    <t>MAGL0004-RDA2 Diseña soluciones legales  integrando aspectos fiscales, societarios y bursátiles, con el fin de apoyar la estabilidad y crecimiento financiero de la empresa</t>
  </si>
  <si>
    <t>MAGL0005-RDA2 Diseña soluciones legales enfocadas en la mejora de la operatividad de la empresa en las áreas de gestión de recursos clave</t>
  </si>
  <si>
    <t>MAGL0005-RDA3 Evalúa soluciones legales para la gestión de activos empresariales</t>
  </si>
  <si>
    <t>MAGL0005-RDA1 Diagnostica la gestión de activos de la empresa, acorde a sus objetivos organizacionales</t>
  </si>
  <si>
    <t>MAGL0006-RDA1 Analiza los aspectos legales que influyen en la gestión de recursos humanos en la empresa</t>
  </si>
  <si>
    <t>MAGL0006-RDA2 Evalúa el impacto de la gestión legal de recursos humanos en la operatividad y cumplimiento normativo de la empresa</t>
  </si>
  <si>
    <t>MAGL0006-RDA3 Diseña soluciones legales para optimizar la gestión de recursos humanos de la organización.</t>
  </si>
  <si>
    <t>MAGL0007-RDA1 Analiza el impacto de las tendencias contemporáneas del negocio jurídico en el ámbito público y privado y en la actividad empresarial</t>
  </si>
  <si>
    <t>MAGL0007-RDA2 Propone estrategias legales para la gestión de negocios jurídicos en contextos societarios, mercantiles y civiles</t>
  </si>
  <si>
    <t>MAGL0007-RDA3 Diseña negocios jurídicos adecuados a los principios de contratación pública, civil y mercantil, para un entorno empresarial cambiante</t>
  </si>
  <si>
    <t>MAGL0008-RDA1 Aplica los principios fundamentales de la resolución de conflictos en el contexto empresarial</t>
  </si>
  <si>
    <t>MAGL0008-RDA2 Diseña soluciones para la prevención y resolución de conflictos que surgen dentro y fuera de la organización</t>
  </si>
  <si>
    <t>MAGL0009-RDA1 Analiza los aspectos legales que derivan de la transformación de la industria y el mercado</t>
  </si>
  <si>
    <t>MAGL0009-RDA2 Diseña estrategias legales adecuadas a la innovación tecnológica en el entorno empresarial</t>
  </si>
  <si>
    <t>TTMZ1111-RDA1 Aplica habilidades de liderazgo para resolver problemas y desafíos empresariales complejos</t>
  </si>
  <si>
    <t>TTMZ1111-RDA3 Diseña un plan estratégico para llevar a cabo un proyecto de manera efectiva</t>
  </si>
  <si>
    <t>TTMZ1111-RDA2 Integra técnicas y herramientas para estimular la generación de ideas creativas y el trabajo en equipo en un entorno empresarial</t>
  </si>
  <si>
    <t>TTMZ1112-RDA1 Analiza una problemática jurídica relativa a los negocios empresariales</t>
  </si>
  <si>
    <t>TTMZ1112-RDA2 Formula soluciones legales innovadoras y creativas, argumentando su viabilidad jurídica y práctica</t>
  </si>
  <si>
    <t>MAGL0002/  MGOZ6147</t>
  </si>
  <si>
    <t>MAGL0001/ MGOZ6145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</si>
</sst>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9" fillId="0" borderId="0"/>
    <xf numFmtId="0" fontId="11" fillId="0" borderId="0"/>
    <xf numFmtId="0" fontId="12" fillId="10" borderId="22" applyNumberFormat="0" applyAlignment="0" applyProtection="0"/>
    <xf numFmtId="0" fontId="4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43" fontId="10" fillId="0" borderId="0" applyFont="0" applyFill="0" applyBorder="0" applyAlignment="0" applyProtection="0"/>
    <xf numFmtId="0" fontId="10" fillId="0" borderId="0"/>
  </cellStyleXfs>
  <cellXfs count="130">
    <xf numFmtId="0" fontId="0" fillId="0" borderId="0" xfId="0"/>
    <xf numFmtId="0" fontId="6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0" borderId="19" xfId="0" applyFont="1" applyBorder="1" applyAlignment="1" applyProtection="1">
      <alignment vertical="top"/>
      <protection locked="0"/>
    </xf>
    <xf numFmtId="0" fontId="6" fillId="5" borderId="26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7" fillId="8" borderId="0" xfId="0" applyFont="1" applyFill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top" wrapText="1"/>
    </xf>
    <xf numFmtId="0" fontId="2" fillId="3" borderId="30" xfId="0" applyFont="1" applyFill="1" applyBorder="1" applyAlignment="1">
      <alignment horizontal="left" vertical="center" wrapText="1"/>
    </xf>
    <xf numFmtId="0" fontId="2" fillId="3" borderId="31" xfId="0" applyFont="1" applyFill="1" applyBorder="1" applyAlignment="1">
      <alignment horizontal="left" vertical="center" wrapText="1"/>
    </xf>
    <xf numFmtId="0" fontId="1" fillId="11" borderId="2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0" fillId="3" borderId="34" xfId="0" applyFill="1" applyBorder="1"/>
    <xf numFmtId="0" fontId="0" fillId="3" borderId="30" xfId="0" applyFill="1" applyBorder="1"/>
    <xf numFmtId="0" fontId="0" fillId="3" borderId="35" xfId="0" applyFill="1" applyBorder="1"/>
    <xf numFmtId="0" fontId="1" fillId="9" borderId="28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justify" vertical="center"/>
    </xf>
    <xf numFmtId="0" fontId="0" fillId="5" borderId="34" xfId="0" applyFill="1" applyBorder="1" applyAlignment="1">
      <alignment horizontal="center"/>
    </xf>
    <xf numFmtId="0" fontId="0" fillId="5" borderId="33" xfId="0" applyFill="1" applyBorder="1" applyAlignment="1">
      <alignment horizontal="justify" vertical="center"/>
    </xf>
    <xf numFmtId="0" fontId="0" fillId="5" borderId="30" xfId="0" applyFill="1" applyBorder="1" applyAlignment="1">
      <alignment horizontal="center"/>
    </xf>
    <xf numFmtId="0" fontId="0" fillId="5" borderId="30" xfId="0" applyFill="1" applyBorder="1"/>
    <xf numFmtId="0" fontId="0" fillId="5" borderId="36" xfId="0" applyFill="1" applyBorder="1" applyAlignment="1">
      <alignment horizontal="justify" vertical="center"/>
    </xf>
    <xf numFmtId="0" fontId="0" fillId="5" borderId="31" xfId="0" applyFill="1" applyBorder="1"/>
    <xf numFmtId="0" fontId="1" fillId="9" borderId="28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13" fillId="2" borderId="29" xfId="0" applyFont="1" applyFill="1" applyBorder="1" applyAlignment="1">
      <alignment vertical="center" wrapText="1"/>
    </xf>
    <xf numFmtId="0" fontId="0" fillId="2" borderId="38" xfId="0" applyFill="1" applyBorder="1" applyAlignment="1">
      <alignment horizontal="center"/>
    </xf>
    <xf numFmtId="0" fontId="13" fillId="2" borderId="30" xfId="0" applyFont="1" applyFill="1" applyBorder="1" applyAlignment="1">
      <alignment vertical="center" wrapText="1"/>
    </xf>
    <xf numFmtId="0" fontId="0" fillId="2" borderId="39" xfId="0" applyFill="1" applyBorder="1" applyAlignment="1">
      <alignment horizontal="center"/>
    </xf>
    <xf numFmtId="0" fontId="13" fillId="2" borderId="30" xfId="0" applyFont="1" applyFill="1" applyBorder="1" applyAlignment="1">
      <alignment vertical="center"/>
    </xf>
    <xf numFmtId="0" fontId="0" fillId="2" borderId="40" xfId="0" applyFill="1" applyBorder="1" applyAlignment="1">
      <alignment horizontal="center"/>
    </xf>
    <xf numFmtId="0" fontId="0" fillId="2" borderId="30" xfId="0" applyFill="1" applyBorder="1"/>
    <xf numFmtId="0" fontId="0" fillId="2" borderId="31" xfId="0" applyFill="1" applyBorder="1"/>
    <xf numFmtId="0" fontId="1" fillId="12" borderId="17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2" fillId="0" borderId="25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24" xfId="0" applyFont="1" applyBorder="1" applyAlignment="1" applyProtection="1">
      <alignment vertical="top" wrapText="1"/>
      <protection locked="0"/>
    </xf>
    <xf numFmtId="0" fontId="2" fillId="0" borderId="3" xfId="0" applyFont="1" applyBorder="1" applyAlignment="1" applyProtection="1">
      <alignment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8" fillId="0" borderId="26" xfId="6" applyFont="1" applyBorder="1" applyAlignment="1">
      <alignment horizontal="left" vertical="center" wrapText="1"/>
    </xf>
    <xf numFmtId="0" fontId="2" fillId="0" borderId="43" xfId="0" applyFont="1" applyBorder="1" applyAlignment="1" applyProtection="1">
      <alignment vertical="top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8" fillId="0" borderId="42" xfId="6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8" fillId="0" borderId="1" xfId="1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4" borderId="25" xfId="0" applyNumberFormat="1" applyFont="1" applyFill="1" applyBorder="1" applyAlignment="1">
      <alignment horizontal="center" vertical="center"/>
    </xf>
    <xf numFmtId="1" fontId="2" fillId="5" borderId="19" xfId="0" applyNumberFormat="1" applyFont="1" applyFill="1" applyBorder="1" applyAlignment="1">
      <alignment horizontal="center" vertical="center"/>
    </xf>
    <xf numFmtId="1" fontId="2" fillId="3" borderId="19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" fontId="2" fillId="7" borderId="19" xfId="0" applyNumberFormat="1" applyFont="1" applyFill="1" applyBorder="1" applyAlignment="1">
      <alignment horizontal="center" vertical="center"/>
    </xf>
    <xf numFmtId="1" fontId="2" fillId="6" borderId="19" xfId="0" applyNumberFormat="1" applyFont="1" applyFill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6" fillId="0" borderId="18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3" borderId="21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/>
    </xf>
    <xf numFmtId="1" fontId="2" fillId="2" borderId="26" xfId="0" applyNumberFormat="1" applyFont="1" applyFill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8" fillId="0" borderId="19" xfId="10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" fillId="7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8" fillId="0" borderId="3" xfId="1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4">
    <cellStyle name="Celda de comprobación 2" xfId="4" xr:uid="{3A9624D4-9108-4274-AFF5-AA0F6F89F2DE}"/>
    <cellStyle name="Millares 2" xfId="8" xr:uid="{9355157E-A983-4FCB-B304-FA109F6F014D}"/>
    <cellStyle name="Millares 2 2" xfId="12" xr:uid="{375BDA54-57C4-419E-9E52-09E776E54ABF}"/>
    <cellStyle name="Normal" xfId="0" builtinId="0"/>
    <cellStyle name="Normal 2" xfId="1" xr:uid="{369D3522-3960-496C-AEB2-B1D89A53CD34}"/>
    <cellStyle name="Normal 2 2" xfId="5" xr:uid="{25DFF9FA-0159-40F3-B1E8-A7058238A3DC}"/>
    <cellStyle name="Normal 2 3" xfId="9" xr:uid="{782863B1-F035-4D5C-B12B-975B60FB4516}"/>
    <cellStyle name="Normal 2 4" xfId="3" xr:uid="{67F23A7D-E3A2-4273-B183-54E6701C74B3}"/>
    <cellStyle name="Normal 3" xfId="10" xr:uid="{A1D8ECBE-5875-4452-9988-1903297BDE04}"/>
    <cellStyle name="Normal 3 3" xfId="6" xr:uid="{7721E7D6-ED09-4742-9860-27D1011EA60F}"/>
    <cellStyle name="Normal 4" xfId="13" xr:uid="{E723F6BF-D606-4F62-A649-162D5F0537CC}"/>
    <cellStyle name="Normal 5" xfId="2" xr:uid="{8AEF6953-D00B-429A-AF09-770F73EB3195}"/>
    <cellStyle name="Normal 5 2" xfId="11" xr:uid="{7C7D1D33-6D39-4852-922E-17B9B2EC6523}"/>
    <cellStyle name="Normal 5 3" xfId="7" xr:uid="{5296C466-E8E6-47CE-8AF4-C1F8D76004A9}"/>
  </cellStyles>
  <dxfs count="3"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4"/>
      </font>
    </dxf>
  </dxfs>
  <tableStyles count="1" defaultTableStyle="TableStyleMedium2" defaultPivotStyle="PivotStyleLight16">
    <tableStyle name="MySqlDefault" pivot="0" table="0" count="0" xr9:uid="{7373CFFD-0F10-41A3-B7E1-E01F2AD799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691445</xdr:colOff>
      <xdr:row>0</xdr:row>
      <xdr:rowOff>144298</xdr:rowOff>
    </xdr:from>
    <xdr:ext cx="2432315" cy="787533"/>
    <xdr:pic>
      <xdr:nvPicPr>
        <xdr:cNvPr id="2" name="Imagen 3">
          <a:extLst>
            <a:ext uri="{FF2B5EF4-FFF2-40B4-BE49-F238E27FC236}">
              <a16:creationId xmlns:a16="http://schemas.microsoft.com/office/drawing/2014/main" id="{714E54B2-38E0-4C8E-BEB5-E721F156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8667" y="144298"/>
          <a:ext cx="2432315" cy="78753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fania Díaz" id="{F3F09E14-CFD3-4BB9-BC65-76E3E398F773}" userId="Stefania Díaz" providerId="None"/>
  <person displayName="Lisette Edelma Guzmán" id="{A4DCBE37-5330-468E-85EF-C3D3D8B792B0}" userId="S::lisette.guzman@udla.edu.ec::9f2e1dd1-b183-461e-9bb3-73a4098e8d7d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5-06-23T20:27:46.41" personId="{A4DCBE37-5330-468E-85EF-C3D3D8B792B0}" id="{24CFB0A6-4405-416B-A411-99E206D30B53}">
    <text xml:space="preserve">Se homologa con MGOZ6145 de la Maestría en Administración y Gerencia Organizacional. Reunión con Cristhian Castro. 23JUN2025
</text>
  </threadedComment>
  <threadedComment ref="P16" dT="2025-03-31T14:52:04.61" personId="{F3F09E14-CFD3-4BB9-BC65-76E3E398F773}" id="{A7E0E47B-82D6-4EA6-94EF-B51AD82FF5DB}">
    <text xml:space="preserve">Instalada bajo MAESTRÍA EN ADMINISTRACIÓN Y GERENCIA ORGANIZACIONAL </text>
    <extLst>
      <x:ext xmlns:xltc2="http://schemas.microsoft.com/office/spreadsheetml/2020/threadedcomments2" uri="{F7C98A9C-CBB3-438F-8F68-D28B6AF4A901}">
        <xltc2:checksum>3094870277</xltc2:checksum>
        <xltc2:hyperlink startIndex="15" length="52" url="https://udla.brightspace.com/d2l/lp/orgUnitEditor/6606/orgUnit/18578"/>
      </x:ext>
    </extLst>
  </threadedComment>
  <threadedComment ref="E22" dT="2025-06-23T20:30:14.25" personId="{A4DCBE37-5330-468E-85EF-C3D3D8B792B0}" id="{9A96C5C7-BD20-4015-9797-693AD9A26CAB}">
    <text>Se homologa con MGOZ6147 de la Maestría en Administración y Gerencia Organizacional. Reunión con Cristhian Castro. 23JUN2025</text>
  </threadedComment>
  <threadedComment ref="T54" dT="2025-04-03T18:20:47.74" personId="{A4DCBE37-5330-468E-85EF-C3D3D8B792B0}" id="{E9C9FA20-3AA7-4AD6-A733-0CAF71E2BA81}">
    <text>Desarrollo de un contrato. Definido en reunión con Roque Albuja. 03ABR2025.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BED0-2A96-4498-A425-B32E664116D2}">
  <sheetPr codeName="Hoja1">
    <pageSetUpPr autoPageBreaks="0"/>
  </sheetPr>
  <dimension ref="A1:AW81"/>
  <sheetViews>
    <sheetView tabSelected="1" zoomScale="72" zoomScaleNormal="72" workbookViewId="0">
      <pane xSplit="6" ySplit="9" topLeftCell="O10" activePane="bottomRight" state="frozen"/>
      <selection pane="topRight" activeCell="G1" sqref="G1"/>
      <selection pane="bottomLeft" activeCell="A10" sqref="A10"/>
      <selection pane="bottomRight" activeCell="Q77" sqref="Q77"/>
    </sheetView>
  </sheetViews>
  <sheetFormatPr baseColWidth="10" defaultColWidth="11.453125" defaultRowHeight="14.5" x14ac:dyDescent="0.35"/>
  <cols>
    <col min="1" max="1" width="3.1796875" style="3" customWidth="1"/>
    <col min="2" max="2" width="4.7265625" style="3" customWidth="1"/>
    <col min="3" max="3" width="9.453125" style="3" customWidth="1"/>
    <col min="4" max="4" width="5.453125" style="3" customWidth="1"/>
    <col min="5" max="5" width="15.7265625" style="11" customWidth="1"/>
    <col min="6" max="6" width="15.453125" style="3" customWidth="1"/>
    <col min="7" max="7" width="15.453125" style="3" bestFit="1" customWidth="1"/>
    <col min="8" max="8" width="13.453125" style="3" bestFit="1" customWidth="1"/>
    <col min="9" max="9" width="13" style="3" bestFit="1" customWidth="1"/>
    <col min="10" max="10" width="15.453125" style="3" bestFit="1" customWidth="1"/>
    <col min="11" max="11" width="17.26953125" style="3" customWidth="1"/>
    <col min="12" max="12" width="11.7265625" style="3" customWidth="1"/>
    <col min="13" max="13" width="12.453125" style="3" customWidth="1"/>
    <col min="14" max="14" width="14.1796875" style="3" customWidth="1"/>
    <col min="15" max="15" width="10.453125" style="3" bestFit="1" customWidth="1"/>
    <col min="16" max="16" width="12" style="3" customWidth="1"/>
    <col min="17" max="17" width="45.26953125" style="3" customWidth="1"/>
    <col min="18" max="18" width="26.453125" style="3" customWidth="1"/>
    <col min="19" max="21" width="14.81640625" style="3" customWidth="1"/>
    <col min="22" max="16384" width="11.453125" style="3"/>
  </cols>
  <sheetData>
    <row r="1" spans="1:49" ht="15" thickBot="1" x14ac:dyDescent="0.4"/>
    <row r="2" spans="1:49" ht="15" customHeight="1" x14ac:dyDescent="0.35">
      <c r="B2" s="86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8"/>
    </row>
    <row r="3" spans="1:49" ht="15" customHeight="1" x14ac:dyDescent="0.35"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1"/>
    </row>
    <row r="4" spans="1:49" ht="19.5" customHeight="1" thickBot="1" x14ac:dyDescent="0.4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4"/>
    </row>
    <row r="5" spans="1:49" ht="19.5" customHeight="1" thickBot="1" x14ac:dyDescent="0.4">
      <c r="B5" s="4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49" ht="19.5" hidden="1" customHeight="1" x14ac:dyDescent="0.35">
      <c r="B6" s="4"/>
      <c r="C6" s="6"/>
      <c r="D6" s="6"/>
      <c r="E6" s="1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49" ht="19.5" hidden="1" customHeight="1" thickBot="1" x14ac:dyDescent="0.4">
      <c r="B7" s="4"/>
      <c r="C7" s="6"/>
      <c r="D7" s="6"/>
      <c r="E7" s="1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49" s="5" customFormat="1" ht="30.75" customHeight="1" x14ac:dyDescent="0.35">
      <c r="B8" s="95" t="s">
        <v>1</v>
      </c>
      <c r="C8" s="97" t="s">
        <v>2</v>
      </c>
      <c r="D8" s="97" t="s">
        <v>3</v>
      </c>
      <c r="E8" s="97" t="s">
        <v>4</v>
      </c>
      <c r="F8" s="97" t="s">
        <v>5</v>
      </c>
      <c r="G8" s="97" t="s">
        <v>6</v>
      </c>
      <c r="H8" s="101" t="s">
        <v>7</v>
      </c>
      <c r="I8" s="101" t="s">
        <v>8</v>
      </c>
      <c r="J8" s="105" t="s">
        <v>9</v>
      </c>
      <c r="K8" s="99" t="s">
        <v>10</v>
      </c>
      <c r="L8" s="103" t="s">
        <v>11</v>
      </c>
      <c r="M8" s="103"/>
      <c r="N8" s="103"/>
      <c r="O8" s="107" t="s">
        <v>12</v>
      </c>
      <c r="P8" s="97" t="s">
        <v>13</v>
      </c>
      <c r="Q8" s="80" t="s">
        <v>14</v>
      </c>
      <c r="R8" s="78" t="s">
        <v>15</v>
      </c>
      <c r="S8" s="78" t="s">
        <v>16</v>
      </c>
      <c r="T8" s="83" t="s">
        <v>17</v>
      </c>
      <c r="U8" s="84" t="s">
        <v>18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s="5" customFormat="1" ht="27" customHeight="1" thickBot="1" x14ac:dyDescent="0.4">
      <c r="B9" s="96"/>
      <c r="C9" s="98"/>
      <c r="D9" s="98"/>
      <c r="E9" s="98"/>
      <c r="F9" s="98"/>
      <c r="G9" s="104"/>
      <c r="H9" s="102"/>
      <c r="I9" s="102"/>
      <c r="J9" s="106"/>
      <c r="K9" s="100"/>
      <c r="L9" s="9" t="s">
        <v>21</v>
      </c>
      <c r="M9" s="1" t="s">
        <v>22</v>
      </c>
      <c r="N9" s="10" t="s">
        <v>23</v>
      </c>
      <c r="O9" s="108"/>
      <c r="P9" s="98"/>
      <c r="Q9" s="81"/>
      <c r="R9" s="79"/>
      <c r="S9" s="82"/>
      <c r="T9" s="82"/>
      <c r="U9" s="85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s="42" customFormat="1" ht="15" customHeight="1" thickBot="1" x14ac:dyDescent="0.4">
      <c r="A10" s="5"/>
      <c r="B10" s="75">
        <v>1</v>
      </c>
      <c r="C10" s="74">
        <v>1</v>
      </c>
      <c r="D10" s="74" t="s">
        <v>24</v>
      </c>
      <c r="E10" s="73" t="s">
        <v>143</v>
      </c>
      <c r="F10" s="73" t="s">
        <v>85</v>
      </c>
      <c r="G10" s="113" t="s">
        <v>84</v>
      </c>
      <c r="H10" s="112" t="s">
        <v>25</v>
      </c>
      <c r="I10" s="111">
        <v>3</v>
      </c>
      <c r="J10" s="109">
        <v>48</v>
      </c>
      <c r="K10" s="72">
        <v>48</v>
      </c>
      <c r="L10" s="71">
        <v>48</v>
      </c>
      <c r="M10" s="70">
        <v>0</v>
      </c>
      <c r="N10" s="77">
        <f>SUM(L10:M15)</f>
        <v>48</v>
      </c>
      <c r="O10" s="76">
        <f>SUM(J10:K15,N10)</f>
        <v>144</v>
      </c>
      <c r="P10" s="73" t="s">
        <v>40</v>
      </c>
      <c r="Q10" s="50" t="s">
        <v>110</v>
      </c>
      <c r="R10" s="43"/>
      <c r="S10" s="8" t="s">
        <v>39</v>
      </c>
      <c r="T10" s="8"/>
      <c r="U10" s="4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s="42" customFormat="1" ht="15" customHeight="1" thickBot="1" x14ac:dyDescent="0.4">
      <c r="A11" s="5"/>
      <c r="B11" s="63"/>
      <c r="C11" s="64"/>
      <c r="D11" s="64"/>
      <c r="E11" s="65"/>
      <c r="F11" s="65"/>
      <c r="G11" s="66"/>
      <c r="H11" s="67"/>
      <c r="I11" s="68"/>
      <c r="J11" s="69"/>
      <c r="K11" s="56"/>
      <c r="L11" s="57"/>
      <c r="M11" s="58"/>
      <c r="N11" s="60"/>
      <c r="O11" s="61"/>
      <c r="P11" s="62"/>
      <c r="Q11" s="53" t="s">
        <v>111</v>
      </c>
      <c r="R11" s="51"/>
      <c r="S11" s="8" t="s">
        <v>39</v>
      </c>
      <c r="T11" s="7"/>
      <c r="U11" s="45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 s="42" customFormat="1" ht="15" customHeight="1" x14ac:dyDescent="0.35">
      <c r="A12" s="5"/>
      <c r="B12" s="63"/>
      <c r="C12" s="64"/>
      <c r="D12" s="64"/>
      <c r="E12" s="65"/>
      <c r="F12" s="65"/>
      <c r="G12" s="66"/>
      <c r="H12" s="67"/>
      <c r="I12" s="68"/>
      <c r="J12" s="69"/>
      <c r="K12" s="56"/>
      <c r="L12" s="57"/>
      <c r="M12" s="58"/>
      <c r="N12" s="60"/>
      <c r="O12" s="61"/>
      <c r="P12" s="62"/>
      <c r="Q12" s="53" t="s">
        <v>112</v>
      </c>
      <c r="R12" s="51"/>
      <c r="S12" s="8" t="s">
        <v>39</v>
      </c>
      <c r="T12" s="7"/>
      <c r="U12" s="45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s="42" customFormat="1" ht="15" customHeight="1" x14ac:dyDescent="0.35">
      <c r="A13" s="5"/>
      <c r="B13" s="63"/>
      <c r="C13" s="64"/>
      <c r="D13" s="64"/>
      <c r="E13" s="65"/>
      <c r="F13" s="65"/>
      <c r="G13" s="66"/>
      <c r="H13" s="67"/>
      <c r="I13" s="68"/>
      <c r="J13" s="69"/>
      <c r="K13" s="56"/>
      <c r="L13" s="57"/>
      <c r="M13" s="58"/>
      <c r="N13" s="60"/>
      <c r="O13" s="61"/>
      <c r="P13" s="62"/>
      <c r="Q13" s="54"/>
      <c r="R13" s="51"/>
      <c r="S13" s="7"/>
      <c r="T13" s="7"/>
      <c r="U13" s="4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s="42" customFormat="1" ht="15" customHeight="1" x14ac:dyDescent="0.35">
      <c r="A14" s="5"/>
      <c r="B14" s="63"/>
      <c r="C14" s="64"/>
      <c r="D14" s="64"/>
      <c r="E14" s="65"/>
      <c r="F14" s="65"/>
      <c r="G14" s="66"/>
      <c r="H14" s="67"/>
      <c r="I14" s="68"/>
      <c r="J14" s="69"/>
      <c r="K14" s="56"/>
      <c r="L14" s="57"/>
      <c r="M14" s="58"/>
      <c r="N14" s="60"/>
      <c r="O14" s="61"/>
      <c r="P14" s="65"/>
      <c r="Q14" s="52"/>
      <c r="R14" s="43"/>
      <c r="S14" s="7"/>
      <c r="T14" s="7"/>
      <c r="U14" s="45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2" customFormat="1" ht="15" customHeight="1" x14ac:dyDescent="0.35">
      <c r="A15" s="5"/>
      <c r="B15" s="63"/>
      <c r="C15" s="64"/>
      <c r="D15" s="64"/>
      <c r="E15" s="65"/>
      <c r="F15" s="65"/>
      <c r="G15" s="66"/>
      <c r="H15" s="67"/>
      <c r="I15" s="68"/>
      <c r="J15" s="110"/>
      <c r="K15" s="56"/>
      <c r="L15" s="57"/>
      <c r="M15" s="58"/>
      <c r="N15" s="60"/>
      <c r="O15" s="61"/>
      <c r="P15" s="65"/>
      <c r="Q15" s="41"/>
      <c r="R15" s="43"/>
      <c r="S15" s="7"/>
      <c r="T15" s="7"/>
      <c r="U15" s="45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2" customFormat="1" ht="15" customHeight="1" x14ac:dyDescent="0.35">
      <c r="A16" s="5"/>
      <c r="B16" s="63">
        <v>2</v>
      </c>
      <c r="C16" s="64">
        <v>1</v>
      </c>
      <c r="D16" s="64" t="s">
        <v>24</v>
      </c>
      <c r="E16" s="65" t="s">
        <v>97</v>
      </c>
      <c r="F16" s="65" t="s">
        <v>86</v>
      </c>
      <c r="G16" s="66" t="s">
        <v>84</v>
      </c>
      <c r="H16" s="67" t="s">
        <v>25</v>
      </c>
      <c r="I16" s="68">
        <v>2</v>
      </c>
      <c r="J16" s="69">
        <v>32</v>
      </c>
      <c r="K16" s="56">
        <v>32</v>
      </c>
      <c r="L16" s="57">
        <v>32</v>
      </c>
      <c r="M16" s="58">
        <v>0</v>
      </c>
      <c r="N16" s="59">
        <f t="shared" ref="N16" si="0">SUM(L16:M21)</f>
        <v>32</v>
      </c>
      <c r="O16" s="61">
        <f>SUM(J16:K21,N16)</f>
        <v>96</v>
      </c>
      <c r="P16" s="65" t="s">
        <v>40</v>
      </c>
      <c r="Q16" s="50" t="s">
        <v>113</v>
      </c>
      <c r="R16" s="43"/>
      <c r="S16" s="7" t="s">
        <v>39</v>
      </c>
      <c r="T16" s="7"/>
      <c r="U16" s="45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42" customFormat="1" ht="15" customHeight="1" x14ac:dyDescent="0.35">
      <c r="A17" s="5"/>
      <c r="B17" s="63">
        <v>0</v>
      </c>
      <c r="C17" s="64">
        <v>0</v>
      </c>
      <c r="D17" s="64"/>
      <c r="E17" s="65"/>
      <c r="F17" s="65"/>
      <c r="G17" s="66"/>
      <c r="H17" s="67">
        <v>0</v>
      </c>
      <c r="I17" s="68"/>
      <c r="J17" s="69"/>
      <c r="K17" s="56"/>
      <c r="L17" s="57"/>
      <c r="M17" s="58"/>
      <c r="N17" s="60"/>
      <c r="O17" s="61"/>
      <c r="P17" s="62"/>
      <c r="Q17" s="53" t="s">
        <v>114</v>
      </c>
      <c r="R17" s="51"/>
      <c r="S17" s="7" t="s">
        <v>39</v>
      </c>
      <c r="T17" s="7"/>
      <c r="U17" s="45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s="42" customFormat="1" ht="15" customHeight="1" x14ac:dyDescent="0.35">
      <c r="A18" s="5"/>
      <c r="B18" s="63">
        <v>0</v>
      </c>
      <c r="C18" s="64">
        <v>0</v>
      </c>
      <c r="D18" s="64"/>
      <c r="E18" s="65"/>
      <c r="F18" s="65"/>
      <c r="G18" s="66"/>
      <c r="H18" s="67">
        <v>0</v>
      </c>
      <c r="I18" s="68"/>
      <c r="J18" s="69"/>
      <c r="K18" s="56"/>
      <c r="L18" s="57"/>
      <c r="M18" s="58"/>
      <c r="N18" s="60"/>
      <c r="O18" s="61"/>
      <c r="P18" s="62"/>
      <c r="Q18" s="54"/>
      <c r="R18" s="51"/>
      <c r="S18" s="7"/>
      <c r="T18" s="7"/>
      <c r="U18" s="45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s="42" customFormat="1" ht="15" customHeight="1" x14ac:dyDescent="0.35">
      <c r="A19" s="5"/>
      <c r="B19" s="63">
        <v>0</v>
      </c>
      <c r="C19" s="64">
        <v>0</v>
      </c>
      <c r="D19" s="64"/>
      <c r="E19" s="65"/>
      <c r="F19" s="65"/>
      <c r="G19" s="66"/>
      <c r="H19" s="67">
        <v>0</v>
      </c>
      <c r="I19" s="68"/>
      <c r="J19" s="69"/>
      <c r="K19" s="56"/>
      <c r="L19" s="57"/>
      <c r="M19" s="58"/>
      <c r="N19" s="60"/>
      <c r="O19" s="61"/>
      <c r="P19" s="65"/>
      <c r="Q19" s="55"/>
      <c r="R19" s="43"/>
      <c r="S19" s="7"/>
      <c r="T19" s="7"/>
      <c r="U19" s="45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s="42" customFormat="1" ht="15" customHeight="1" x14ac:dyDescent="0.35">
      <c r="A20" s="5"/>
      <c r="B20" s="63">
        <v>0</v>
      </c>
      <c r="C20" s="64">
        <v>0</v>
      </c>
      <c r="D20" s="64"/>
      <c r="E20" s="65"/>
      <c r="F20" s="65"/>
      <c r="G20" s="66"/>
      <c r="H20" s="67">
        <v>0</v>
      </c>
      <c r="I20" s="68"/>
      <c r="J20" s="69"/>
      <c r="K20" s="56"/>
      <c r="L20" s="57"/>
      <c r="M20" s="58"/>
      <c r="N20" s="60"/>
      <c r="O20" s="61"/>
      <c r="P20" s="65"/>
      <c r="Q20" s="13"/>
      <c r="R20" s="43"/>
      <c r="S20" s="7"/>
      <c r="T20" s="7"/>
      <c r="U20" s="45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s="42" customFormat="1" ht="15" customHeight="1" x14ac:dyDescent="0.35">
      <c r="A21" s="5"/>
      <c r="B21" s="63">
        <v>0</v>
      </c>
      <c r="C21" s="64">
        <v>0</v>
      </c>
      <c r="D21" s="64"/>
      <c r="E21" s="65"/>
      <c r="F21" s="65"/>
      <c r="G21" s="66"/>
      <c r="H21" s="67">
        <v>0</v>
      </c>
      <c r="I21" s="68"/>
      <c r="J21" s="69"/>
      <c r="K21" s="56"/>
      <c r="L21" s="57"/>
      <c r="M21" s="58"/>
      <c r="N21" s="60"/>
      <c r="O21" s="61"/>
      <c r="P21" s="65"/>
      <c r="Q21" s="13"/>
      <c r="R21" s="43"/>
      <c r="S21" s="7"/>
      <c r="T21" s="7"/>
      <c r="U21" s="45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s="42" customFormat="1" ht="15" customHeight="1" x14ac:dyDescent="0.35">
      <c r="A22" s="5"/>
      <c r="B22" s="63">
        <v>3</v>
      </c>
      <c r="C22" s="64">
        <v>1</v>
      </c>
      <c r="D22" s="64" t="s">
        <v>24</v>
      </c>
      <c r="E22" s="65" t="s">
        <v>142</v>
      </c>
      <c r="F22" s="65" t="s">
        <v>87</v>
      </c>
      <c r="G22" s="66" t="s">
        <v>84</v>
      </c>
      <c r="H22" s="67" t="s">
        <v>25</v>
      </c>
      <c r="I22" s="68">
        <v>2</v>
      </c>
      <c r="J22" s="69">
        <v>32</v>
      </c>
      <c r="K22" s="56">
        <v>32</v>
      </c>
      <c r="L22" s="57">
        <v>32</v>
      </c>
      <c r="M22" s="58">
        <v>0</v>
      </c>
      <c r="N22" s="59">
        <f t="shared" ref="N22" si="1">SUM(L22:M27)</f>
        <v>32</v>
      </c>
      <c r="O22" s="61">
        <f>SUM(J22:K27,N22)</f>
        <v>96</v>
      </c>
      <c r="P22" s="65" t="s">
        <v>40</v>
      </c>
      <c r="Q22" s="50" t="s">
        <v>115</v>
      </c>
      <c r="R22" s="43"/>
      <c r="S22" s="7" t="s">
        <v>39</v>
      </c>
      <c r="T22" s="7"/>
      <c r="U22" s="45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s="42" customFormat="1" ht="15" customHeight="1" x14ac:dyDescent="0.35">
      <c r="A23" s="5"/>
      <c r="B23" s="63">
        <v>0</v>
      </c>
      <c r="C23" s="64">
        <v>0</v>
      </c>
      <c r="D23" s="64"/>
      <c r="E23" s="65"/>
      <c r="F23" s="65"/>
      <c r="G23" s="66"/>
      <c r="H23" s="67">
        <v>0</v>
      </c>
      <c r="I23" s="68"/>
      <c r="J23" s="69"/>
      <c r="K23" s="56"/>
      <c r="L23" s="57"/>
      <c r="M23" s="58"/>
      <c r="N23" s="60"/>
      <c r="O23" s="61"/>
      <c r="P23" s="62"/>
      <c r="Q23" s="53" t="s">
        <v>116</v>
      </c>
      <c r="R23" s="51"/>
      <c r="S23" s="7" t="s">
        <v>39</v>
      </c>
      <c r="T23" s="7"/>
      <c r="U23" s="45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s="42" customFormat="1" ht="15" customHeight="1" x14ac:dyDescent="0.35">
      <c r="A24" s="5"/>
      <c r="B24" s="63">
        <v>0</v>
      </c>
      <c r="C24" s="64">
        <v>0</v>
      </c>
      <c r="D24" s="64"/>
      <c r="E24" s="65"/>
      <c r="F24" s="65"/>
      <c r="G24" s="66"/>
      <c r="H24" s="67">
        <v>0</v>
      </c>
      <c r="I24" s="68"/>
      <c r="J24" s="69"/>
      <c r="K24" s="56"/>
      <c r="L24" s="57"/>
      <c r="M24" s="58"/>
      <c r="N24" s="60"/>
      <c r="O24" s="61"/>
      <c r="P24" s="62"/>
      <c r="Q24" s="53" t="s">
        <v>117</v>
      </c>
      <c r="R24" s="51"/>
      <c r="S24" s="7" t="s">
        <v>39</v>
      </c>
      <c r="T24" s="7"/>
      <c r="U24" s="45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s="42" customFormat="1" ht="15" customHeight="1" x14ac:dyDescent="0.35">
      <c r="A25" s="5"/>
      <c r="B25" s="63">
        <v>0</v>
      </c>
      <c r="C25" s="64">
        <v>0</v>
      </c>
      <c r="D25" s="64"/>
      <c r="E25" s="65"/>
      <c r="F25" s="65"/>
      <c r="G25" s="66"/>
      <c r="H25" s="67">
        <v>0</v>
      </c>
      <c r="I25" s="68"/>
      <c r="J25" s="69"/>
      <c r="K25" s="56"/>
      <c r="L25" s="57"/>
      <c r="M25" s="58"/>
      <c r="N25" s="60"/>
      <c r="O25" s="61"/>
      <c r="P25" s="62"/>
      <c r="Q25" s="54"/>
      <c r="R25" s="51"/>
      <c r="S25" s="7"/>
      <c r="T25" s="7"/>
      <c r="U25" s="45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s="42" customFormat="1" ht="15" customHeight="1" x14ac:dyDescent="0.35">
      <c r="A26" s="5"/>
      <c r="B26" s="63">
        <v>0</v>
      </c>
      <c r="C26" s="64">
        <v>0</v>
      </c>
      <c r="D26" s="64"/>
      <c r="E26" s="65"/>
      <c r="F26" s="65"/>
      <c r="G26" s="66"/>
      <c r="H26" s="67">
        <v>0</v>
      </c>
      <c r="I26" s="68"/>
      <c r="J26" s="69"/>
      <c r="K26" s="56"/>
      <c r="L26" s="57"/>
      <c r="M26" s="58"/>
      <c r="N26" s="60"/>
      <c r="O26" s="61"/>
      <c r="P26" s="62"/>
      <c r="Q26" s="54"/>
      <c r="R26" s="51"/>
      <c r="S26" s="7"/>
      <c r="T26" s="7"/>
      <c r="U26" s="45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s="42" customFormat="1" ht="15" customHeight="1" x14ac:dyDescent="0.35">
      <c r="A27" s="5"/>
      <c r="B27" s="63">
        <v>0</v>
      </c>
      <c r="C27" s="64">
        <v>0</v>
      </c>
      <c r="D27" s="64"/>
      <c r="E27" s="65"/>
      <c r="F27" s="65"/>
      <c r="G27" s="66"/>
      <c r="H27" s="67">
        <v>0</v>
      </c>
      <c r="I27" s="68"/>
      <c r="J27" s="69"/>
      <c r="K27" s="56"/>
      <c r="L27" s="57"/>
      <c r="M27" s="58"/>
      <c r="N27" s="60"/>
      <c r="O27" s="61"/>
      <c r="P27" s="62"/>
      <c r="Q27" s="54"/>
      <c r="R27" s="51"/>
      <c r="S27" s="7"/>
      <c r="T27" s="7"/>
      <c r="U27" s="45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s="42" customFormat="1" ht="15" customHeight="1" x14ac:dyDescent="0.35">
      <c r="A28" s="5"/>
      <c r="B28" s="63">
        <v>4</v>
      </c>
      <c r="C28" s="64">
        <v>1</v>
      </c>
      <c r="D28" s="64" t="s">
        <v>24</v>
      </c>
      <c r="E28" s="65" t="s">
        <v>98</v>
      </c>
      <c r="F28" s="65" t="s">
        <v>88</v>
      </c>
      <c r="G28" s="66" t="s">
        <v>83</v>
      </c>
      <c r="H28" s="67" t="s">
        <v>25</v>
      </c>
      <c r="I28" s="68">
        <v>3</v>
      </c>
      <c r="J28" s="69">
        <v>79</v>
      </c>
      <c r="K28" s="56">
        <v>53</v>
      </c>
      <c r="L28" s="57">
        <v>0</v>
      </c>
      <c r="M28" s="58">
        <v>12</v>
      </c>
      <c r="N28" s="59">
        <f t="shared" ref="N28" si="2">SUM(L28:M33)</f>
        <v>12</v>
      </c>
      <c r="O28" s="61">
        <f>SUM(J28:K33,N28)</f>
        <v>144</v>
      </c>
      <c r="P28" s="62" t="s">
        <v>26</v>
      </c>
      <c r="Q28" s="53" t="s">
        <v>119</v>
      </c>
      <c r="R28" s="51" t="s">
        <v>106</v>
      </c>
      <c r="S28" s="7" t="s">
        <v>39</v>
      </c>
      <c r="T28" s="7" t="s">
        <v>46</v>
      </c>
      <c r="U28" s="45" t="s">
        <v>49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s="42" customFormat="1" ht="15" customHeight="1" x14ac:dyDescent="0.35">
      <c r="A29" s="5"/>
      <c r="B29" s="63">
        <v>0</v>
      </c>
      <c r="C29" s="64">
        <v>0</v>
      </c>
      <c r="D29" s="64"/>
      <c r="E29" s="65"/>
      <c r="F29" s="65"/>
      <c r="G29" s="66"/>
      <c r="H29" s="67">
        <v>0</v>
      </c>
      <c r="I29" s="68"/>
      <c r="J29" s="69"/>
      <c r="K29" s="56"/>
      <c r="L29" s="57"/>
      <c r="M29" s="58"/>
      <c r="N29" s="60"/>
      <c r="O29" s="61"/>
      <c r="P29" s="62"/>
      <c r="Q29" s="53" t="s">
        <v>120</v>
      </c>
      <c r="R29" s="51" t="s">
        <v>108</v>
      </c>
      <c r="S29" s="7" t="s">
        <v>39</v>
      </c>
      <c r="T29" s="7" t="s">
        <v>67</v>
      </c>
      <c r="U29" s="45" t="s">
        <v>47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s="42" customFormat="1" ht="15" customHeight="1" x14ac:dyDescent="0.35">
      <c r="A30" s="5"/>
      <c r="B30" s="63">
        <v>0</v>
      </c>
      <c r="C30" s="64">
        <v>0</v>
      </c>
      <c r="D30" s="64"/>
      <c r="E30" s="65"/>
      <c r="F30" s="65"/>
      <c r="G30" s="66"/>
      <c r="H30" s="67">
        <v>0</v>
      </c>
      <c r="I30" s="68"/>
      <c r="J30" s="69"/>
      <c r="K30" s="56"/>
      <c r="L30" s="57"/>
      <c r="M30" s="58"/>
      <c r="N30" s="60"/>
      <c r="O30" s="61"/>
      <c r="P30" s="62"/>
      <c r="Q30" s="53" t="s">
        <v>121</v>
      </c>
      <c r="R30" s="51" t="s">
        <v>108</v>
      </c>
      <c r="S30" s="7" t="s">
        <v>39</v>
      </c>
      <c r="T30" s="7" t="s">
        <v>54</v>
      </c>
      <c r="U30" s="45" t="s">
        <v>47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s="42" customFormat="1" ht="15" customHeight="1" x14ac:dyDescent="0.35">
      <c r="A31" s="5"/>
      <c r="B31" s="63">
        <v>0</v>
      </c>
      <c r="C31" s="64">
        <v>0</v>
      </c>
      <c r="D31" s="64"/>
      <c r="E31" s="65"/>
      <c r="F31" s="65"/>
      <c r="G31" s="66"/>
      <c r="H31" s="67">
        <v>0</v>
      </c>
      <c r="I31" s="68"/>
      <c r="J31" s="69"/>
      <c r="K31" s="56"/>
      <c r="L31" s="57"/>
      <c r="M31" s="58"/>
      <c r="N31" s="60"/>
      <c r="O31" s="61"/>
      <c r="P31" s="62"/>
      <c r="Q31" s="54"/>
      <c r="R31" s="51"/>
      <c r="S31" s="7"/>
      <c r="T31" s="7"/>
      <c r="U31" s="4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s="42" customFormat="1" ht="15" customHeight="1" x14ac:dyDescent="0.35">
      <c r="A32" s="5"/>
      <c r="B32" s="63">
        <v>0</v>
      </c>
      <c r="C32" s="64">
        <v>0</v>
      </c>
      <c r="D32" s="64"/>
      <c r="E32" s="65"/>
      <c r="F32" s="65"/>
      <c r="G32" s="66"/>
      <c r="H32" s="67">
        <v>0</v>
      </c>
      <c r="I32" s="68"/>
      <c r="J32" s="69"/>
      <c r="K32" s="56"/>
      <c r="L32" s="57"/>
      <c r="M32" s="58"/>
      <c r="N32" s="60"/>
      <c r="O32" s="61"/>
      <c r="P32" s="62"/>
      <c r="Q32" s="54"/>
      <c r="R32" s="51"/>
      <c r="S32" s="7"/>
      <c r="T32" s="7"/>
      <c r="U32" s="4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s="42" customFormat="1" ht="15" customHeight="1" x14ac:dyDescent="0.35">
      <c r="A33" s="5"/>
      <c r="B33" s="63">
        <v>0</v>
      </c>
      <c r="C33" s="64">
        <v>0</v>
      </c>
      <c r="D33" s="64"/>
      <c r="E33" s="65"/>
      <c r="F33" s="65"/>
      <c r="G33" s="66"/>
      <c r="H33" s="67">
        <v>0</v>
      </c>
      <c r="I33" s="68"/>
      <c r="J33" s="69"/>
      <c r="K33" s="56"/>
      <c r="L33" s="57"/>
      <c r="M33" s="58"/>
      <c r="N33" s="60"/>
      <c r="O33" s="61"/>
      <c r="P33" s="62"/>
      <c r="Q33" s="54"/>
      <c r="R33" s="51"/>
      <c r="S33" s="7"/>
      <c r="T33" s="7"/>
      <c r="U33" s="4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s="42" customFormat="1" ht="15" customHeight="1" x14ac:dyDescent="0.35">
      <c r="A34" s="5"/>
      <c r="B34" s="63">
        <v>5</v>
      </c>
      <c r="C34" s="64">
        <v>1</v>
      </c>
      <c r="D34" s="64" t="s">
        <v>27</v>
      </c>
      <c r="E34" s="65" t="s">
        <v>99</v>
      </c>
      <c r="F34" s="65" t="s">
        <v>89</v>
      </c>
      <c r="G34" s="66" t="s">
        <v>83</v>
      </c>
      <c r="H34" s="67" t="s">
        <v>25</v>
      </c>
      <c r="I34" s="68">
        <v>3</v>
      </c>
      <c r="J34" s="69">
        <v>66</v>
      </c>
      <c r="K34" s="56">
        <v>66</v>
      </c>
      <c r="L34" s="57">
        <v>0</v>
      </c>
      <c r="M34" s="58">
        <v>12</v>
      </c>
      <c r="N34" s="59">
        <f t="shared" ref="N34" si="3">SUM(L34:M39)</f>
        <v>12</v>
      </c>
      <c r="O34" s="61">
        <f>SUM(J34:K39,N34)</f>
        <v>144</v>
      </c>
      <c r="P34" s="62" t="s">
        <v>26</v>
      </c>
      <c r="Q34" s="53" t="s">
        <v>122</v>
      </c>
      <c r="R34" s="51" t="s">
        <v>106</v>
      </c>
      <c r="S34" s="7" t="s">
        <v>39</v>
      </c>
      <c r="T34" s="7" t="s">
        <v>48</v>
      </c>
      <c r="U34" s="45" t="s">
        <v>49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s="42" customFormat="1" ht="15" customHeight="1" x14ac:dyDescent="0.35">
      <c r="A35" s="5"/>
      <c r="B35" s="63">
        <v>0</v>
      </c>
      <c r="C35" s="64">
        <v>0</v>
      </c>
      <c r="D35" s="64"/>
      <c r="E35" s="65"/>
      <c r="F35" s="65"/>
      <c r="G35" s="66"/>
      <c r="H35" s="67">
        <v>0</v>
      </c>
      <c r="I35" s="68"/>
      <c r="J35" s="69"/>
      <c r="K35" s="56"/>
      <c r="L35" s="57"/>
      <c r="M35" s="58"/>
      <c r="N35" s="60"/>
      <c r="O35" s="61"/>
      <c r="P35" s="62"/>
      <c r="Q35" s="53" t="s">
        <v>123</v>
      </c>
      <c r="R35" s="51" t="s">
        <v>108</v>
      </c>
      <c r="S35" s="7" t="s">
        <v>39</v>
      </c>
      <c r="T35" s="7" t="s">
        <v>54</v>
      </c>
      <c r="U35" s="45" t="s">
        <v>47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s="42" customFormat="1" ht="15" customHeight="1" x14ac:dyDescent="0.35">
      <c r="A36" s="5"/>
      <c r="B36" s="63">
        <v>0</v>
      </c>
      <c r="C36" s="64">
        <v>0</v>
      </c>
      <c r="D36" s="64"/>
      <c r="E36" s="65"/>
      <c r="F36" s="65"/>
      <c r="G36" s="66"/>
      <c r="H36" s="67">
        <v>0</v>
      </c>
      <c r="I36" s="68"/>
      <c r="J36" s="69"/>
      <c r="K36" s="56"/>
      <c r="L36" s="57"/>
      <c r="M36" s="58"/>
      <c r="N36" s="60"/>
      <c r="O36" s="61"/>
      <c r="P36" s="62"/>
      <c r="Q36" s="54"/>
      <c r="R36" s="51"/>
      <c r="S36" s="7"/>
      <c r="T36" s="7"/>
      <c r="U36" s="4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s="42" customFormat="1" ht="15" customHeight="1" x14ac:dyDescent="0.35">
      <c r="A37" s="5"/>
      <c r="B37" s="63">
        <v>0</v>
      </c>
      <c r="C37" s="64">
        <v>0</v>
      </c>
      <c r="D37" s="64"/>
      <c r="E37" s="65"/>
      <c r="F37" s="65"/>
      <c r="G37" s="66"/>
      <c r="H37" s="67">
        <v>0</v>
      </c>
      <c r="I37" s="68"/>
      <c r="J37" s="69"/>
      <c r="K37" s="56"/>
      <c r="L37" s="57"/>
      <c r="M37" s="58"/>
      <c r="N37" s="60"/>
      <c r="O37" s="61"/>
      <c r="P37" s="62"/>
      <c r="Q37" s="54"/>
      <c r="R37" s="51"/>
      <c r="S37" s="7"/>
      <c r="T37" s="7"/>
      <c r="U37" s="4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s="42" customFormat="1" ht="15" customHeight="1" x14ac:dyDescent="0.35">
      <c r="A38" s="5"/>
      <c r="B38" s="63">
        <v>0</v>
      </c>
      <c r="C38" s="64">
        <v>0</v>
      </c>
      <c r="D38" s="64"/>
      <c r="E38" s="65"/>
      <c r="F38" s="65"/>
      <c r="G38" s="66"/>
      <c r="H38" s="67">
        <v>0</v>
      </c>
      <c r="I38" s="68"/>
      <c r="J38" s="69"/>
      <c r="K38" s="56"/>
      <c r="L38" s="57"/>
      <c r="M38" s="58"/>
      <c r="N38" s="60"/>
      <c r="O38" s="61"/>
      <c r="P38" s="62"/>
      <c r="Q38" s="54"/>
      <c r="R38" s="51"/>
      <c r="S38" s="7"/>
      <c r="T38" s="7"/>
      <c r="U38" s="4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s="42" customFormat="1" ht="15" customHeight="1" x14ac:dyDescent="0.35">
      <c r="A39" s="5"/>
      <c r="B39" s="63">
        <v>0</v>
      </c>
      <c r="C39" s="64">
        <v>0</v>
      </c>
      <c r="D39" s="64"/>
      <c r="E39" s="65"/>
      <c r="F39" s="65"/>
      <c r="G39" s="66"/>
      <c r="H39" s="67">
        <v>0</v>
      </c>
      <c r="I39" s="68"/>
      <c r="J39" s="69"/>
      <c r="K39" s="56"/>
      <c r="L39" s="57"/>
      <c r="M39" s="58"/>
      <c r="N39" s="60"/>
      <c r="O39" s="61"/>
      <c r="P39" s="62"/>
      <c r="Q39" s="54"/>
      <c r="R39" s="51"/>
      <c r="S39" s="7"/>
      <c r="T39" s="7"/>
      <c r="U39" s="4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s="42" customFormat="1" ht="15" customHeight="1" x14ac:dyDescent="0.35">
      <c r="A40" s="5"/>
      <c r="B40" s="63">
        <v>6</v>
      </c>
      <c r="C40" s="64">
        <v>1</v>
      </c>
      <c r="D40" s="64" t="s">
        <v>27</v>
      </c>
      <c r="E40" s="65" t="s">
        <v>100</v>
      </c>
      <c r="F40" s="65" t="s">
        <v>90</v>
      </c>
      <c r="G40" s="66" t="s">
        <v>83</v>
      </c>
      <c r="H40" s="67" t="s">
        <v>25</v>
      </c>
      <c r="I40" s="68">
        <v>3</v>
      </c>
      <c r="J40" s="69">
        <v>66</v>
      </c>
      <c r="K40" s="56">
        <v>66</v>
      </c>
      <c r="L40" s="57">
        <v>0</v>
      </c>
      <c r="M40" s="58">
        <v>12</v>
      </c>
      <c r="N40" s="59">
        <f t="shared" ref="N40" si="4">SUM(L40:M45)</f>
        <v>12</v>
      </c>
      <c r="O40" s="61">
        <f>SUM(J40:K45,N40)</f>
        <v>144</v>
      </c>
      <c r="P40" s="62" t="s">
        <v>26</v>
      </c>
      <c r="Q40" s="53" t="s">
        <v>126</v>
      </c>
      <c r="R40" s="51" t="s">
        <v>106</v>
      </c>
      <c r="S40" s="7" t="s">
        <v>39</v>
      </c>
      <c r="T40" s="7" t="s">
        <v>67</v>
      </c>
      <c r="U40" s="45" t="s">
        <v>47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s="42" customFormat="1" ht="15" customHeight="1" x14ac:dyDescent="0.35">
      <c r="A41" s="5"/>
      <c r="B41" s="63">
        <v>0</v>
      </c>
      <c r="C41" s="64">
        <v>0</v>
      </c>
      <c r="D41" s="64"/>
      <c r="E41" s="65"/>
      <c r="F41" s="65"/>
      <c r="G41" s="66"/>
      <c r="H41" s="67">
        <v>0</v>
      </c>
      <c r="I41" s="68"/>
      <c r="J41" s="69"/>
      <c r="K41" s="56"/>
      <c r="L41" s="57"/>
      <c r="M41" s="58"/>
      <c r="N41" s="60"/>
      <c r="O41" s="61"/>
      <c r="P41" s="62"/>
      <c r="Q41" s="53" t="s">
        <v>124</v>
      </c>
      <c r="R41" s="51" t="s">
        <v>107</v>
      </c>
      <c r="S41" s="7" t="s">
        <v>39</v>
      </c>
      <c r="T41" s="7" t="s">
        <v>75</v>
      </c>
      <c r="U41" s="45" t="s">
        <v>47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s="42" customFormat="1" ht="15" customHeight="1" x14ac:dyDescent="0.35">
      <c r="A42" s="5"/>
      <c r="B42" s="63">
        <v>0</v>
      </c>
      <c r="C42" s="64">
        <v>0</v>
      </c>
      <c r="D42" s="64"/>
      <c r="E42" s="65"/>
      <c r="F42" s="65"/>
      <c r="G42" s="66"/>
      <c r="H42" s="67">
        <v>0</v>
      </c>
      <c r="I42" s="68"/>
      <c r="J42" s="69"/>
      <c r="K42" s="56"/>
      <c r="L42" s="57"/>
      <c r="M42" s="58"/>
      <c r="N42" s="60"/>
      <c r="O42" s="61"/>
      <c r="P42" s="62"/>
      <c r="Q42" s="53" t="s">
        <v>125</v>
      </c>
      <c r="R42" s="51" t="s">
        <v>109</v>
      </c>
      <c r="S42" s="7" t="s">
        <v>39</v>
      </c>
      <c r="T42" s="7" t="s">
        <v>54</v>
      </c>
      <c r="U42" s="45" t="s">
        <v>47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s="42" customFormat="1" ht="15" customHeight="1" x14ac:dyDescent="0.35">
      <c r="A43" s="5"/>
      <c r="B43" s="63">
        <v>0</v>
      </c>
      <c r="C43" s="64">
        <v>0</v>
      </c>
      <c r="D43" s="64"/>
      <c r="E43" s="65"/>
      <c r="F43" s="65"/>
      <c r="G43" s="66"/>
      <c r="H43" s="67">
        <v>0</v>
      </c>
      <c r="I43" s="68"/>
      <c r="J43" s="69"/>
      <c r="K43" s="56"/>
      <c r="L43" s="57"/>
      <c r="M43" s="58"/>
      <c r="N43" s="60"/>
      <c r="O43" s="61"/>
      <c r="P43" s="62"/>
      <c r="Q43" s="54"/>
      <c r="R43" s="51"/>
      <c r="S43" s="7"/>
      <c r="T43" s="7"/>
      <c r="U43" s="4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s="42" customFormat="1" ht="15" customHeight="1" x14ac:dyDescent="0.35">
      <c r="A44" s="5"/>
      <c r="B44" s="63">
        <v>0</v>
      </c>
      <c r="C44" s="64">
        <v>0</v>
      </c>
      <c r="D44" s="64"/>
      <c r="E44" s="65"/>
      <c r="F44" s="65"/>
      <c r="G44" s="66"/>
      <c r="H44" s="67">
        <v>0</v>
      </c>
      <c r="I44" s="68"/>
      <c r="J44" s="69"/>
      <c r="K44" s="56"/>
      <c r="L44" s="57"/>
      <c r="M44" s="58"/>
      <c r="N44" s="60"/>
      <c r="O44" s="61"/>
      <c r="P44" s="62"/>
      <c r="Q44" s="54"/>
      <c r="R44" s="51"/>
      <c r="S44" s="7"/>
      <c r="T44" s="7"/>
      <c r="U44" s="4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s="42" customFormat="1" ht="15" customHeight="1" x14ac:dyDescent="0.35">
      <c r="A45" s="5"/>
      <c r="B45" s="63">
        <v>0</v>
      </c>
      <c r="C45" s="64">
        <v>0</v>
      </c>
      <c r="D45" s="64"/>
      <c r="E45" s="65"/>
      <c r="F45" s="65"/>
      <c r="G45" s="66"/>
      <c r="H45" s="67">
        <v>0</v>
      </c>
      <c r="I45" s="68"/>
      <c r="J45" s="69"/>
      <c r="K45" s="56"/>
      <c r="L45" s="57"/>
      <c r="M45" s="58"/>
      <c r="N45" s="60"/>
      <c r="O45" s="61"/>
      <c r="P45" s="62"/>
      <c r="Q45" s="54"/>
      <c r="R45" s="51"/>
      <c r="S45" s="7"/>
      <c r="T45" s="7"/>
      <c r="U45" s="4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s="42" customFormat="1" ht="15" customHeight="1" x14ac:dyDescent="0.35">
      <c r="A46" s="5"/>
      <c r="B46" s="63">
        <v>7</v>
      </c>
      <c r="C46" s="64">
        <v>2</v>
      </c>
      <c r="D46" s="64" t="s">
        <v>27</v>
      </c>
      <c r="E46" s="65" t="s">
        <v>118</v>
      </c>
      <c r="F46" s="65" t="s">
        <v>91</v>
      </c>
      <c r="G46" s="66" t="s">
        <v>83</v>
      </c>
      <c r="H46" s="67" t="s">
        <v>25</v>
      </c>
      <c r="I46" s="68">
        <v>3</v>
      </c>
      <c r="J46" s="69">
        <v>66</v>
      </c>
      <c r="K46" s="56">
        <v>66</v>
      </c>
      <c r="L46" s="57">
        <v>0</v>
      </c>
      <c r="M46" s="58">
        <v>12</v>
      </c>
      <c r="N46" s="59">
        <f t="shared" ref="N46" si="5">SUM(L46:M51)</f>
        <v>12</v>
      </c>
      <c r="O46" s="61">
        <f>SUM(J46:K51,N46)</f>
        <v>144</v>
      </c>
      <c r="P46" s="62" t="s">
        <v>26</v>
      </c>
      <c r="Q46" s="53" t="s">
        <v>127</v>
      </c>
      <c r="R46" s="51" t="s">
        <v>106</v>
      </c>
      <c r="S46" s="7" t="s">
        <v>39</v>
      </c>
      <c r="T46" s="7" t="s">
        <v>46</v>
      </c>
      <c r="U46" s="45" t="s">
        <v>49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s="42" customFormat="1" ht="15" customHeight="1" x14ac:dyDescent="0.35">
      <c r="A47" s="5"/>
      <c r="B47" s="63">
        <v>0</v>
      </c>
      <c r="C47" s="64">
        <v>0</v>
      </c>
      <c r="D47" s="64"/>
      <c r="E47" s="65"/>
      <c r="F47" s="65"/>
      <c r="G47" s="66"/>
      <c r="H47" s="67">
        <v>0</v>
      </c>
      <c r="I47" s="68"/>
      <c r="J47" s="69"/>
      <c r="K47" s="56"/>
      <c r="L47" s="57"/>
      <c r="M47" s="58"/>
      <c r="N47" s="60"/>
      <c r="O47" s="61"/>
      <c r="P47" s="62"/>
      <c r="Q47" s="53" t="s">
        <v>128</v>
      </c>
      <c r="R47" s="51" t="s">
        <v>108</v>
      </c>
      <c r="S47" s="7" t="s">
        <v>39</v>
      </c>
      <c r="T47" s="7" t="s">
        <v>67</v>
      </c>
      <c r="U47" s="45" t="s">
        <v>47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s="42" customFormat="1" ht="15" customHeight="1" x14ac:dyDescent="0.35">
      <c r="A48" s="5"/>
      <c r="B48" s="63">
        <v>0</v>
      </c>
      <c r="C48" s="64">
        <v>0</v>
      </c>
      <c r="D48" s="64"/>
      <c r="E48" s="65"/>
      <c r="F48" s="65"/>
      <c r="G48" s="66"/>
      <c r="H48" s="67">
        <v>0</v>
      </c>
      <c r="I48" s="68"/>
      <c r="J48" s="69"/>
      <c r="K48" s="56"/>
      <c r="L48" s="57"/>
      <c r="M48" s="58"/>
      <c r="N48" s="60"/>
      <c r="O48" s="61"/>
      <c r="P48" s="62"/>
      <c r="Q48" s="53" t="s">
        <v>129</v>
      </c>
      <c r="R48" s="51" t="s">
        <v>109</v>
      </c>
      <c r="S48" s="7" t="s">
        <v>39</v>
      </c>
      <c r="T48" s="7" t="s">
        <v>54</v>
      </c>
      <c r="U48" s="45" t="s">
        <v>47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s="42" customFormat="1" ht="15" customHeight="1" x14ac:dyDescent="0.35">
      <c r="A49" s="5"/>
      <c r="B49" s="63">
        <v>0</v>
      </c>
      <c r="C49" s="64">
        <v>0</v>
      </c>
      <c r="D49" s="64"/>
      <c r="E49" s="65"/>
      <c r="F49" s="65"/>
      <c r="G49" s="66"/>
      <c r="H49" s="67">
        <v>0</v>
      </c>
      <c r="I49" s="68"/>
      <c r="J49" s="69"/>
      <c r="K49" s="56"/>
      <c r="L49" s="57"/>
      <c r="M49" s="58"/>
      <c r="N49" s="60"/>
      <c r="O49" s="61"/>
      <c r="P49" s="62"/>
      <c r="Q49" s="54"/>
      <c r="R49" s="51"/>
      <c r="S49" s="7"/>
      <c r="T49" s="7"/>
      <c r="U49" s="4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s="42" customFormat="1" ht="15" customHeight="1" x14ac:dyDescent="0.35">
      <c r="A50" s="5"/>
      <c r="B50" s="63">
        <v>0</v>
      </c>
      <c r="C50" s="64">
        <v>0</v>
      </c>
      <c r="D50" s="64"/>
      <c r="E50" s="65"/>
      <c r="F50" s="65"/>
      <c r="G50" s="66"/>
      <c r="H50" s="67">
        <v>0</v>
      </c>
      <c r="I50" s="68"/>
      <c r="J50" s="69"/>
      <c r="K50" s="56"/>
      <c r="L50" s="57"/>
      <c r="M50" s="58"/>
      <c r="N50" s="60"/>
      <c r="O50" s="61"/>
      <c r="P50" s="62"/>
      <c r="Q50" s="54"/>
      <c r="R50" s="51"/>
      <c r="S50" s="7"/>
      <c r="T50" s="7"/>
      <c r="U50" s="4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s="42" customFormat="1" ht="15" customHeight="1" x14ac:dyDescent="0.35">
      <c r="A51" s="5"/>
      <c r="B51" s="63">
        <v>0</v>
      </c>
      <c r="C51" s="64">
        <v>0</v>
      </c>
      <c r="D51" s="64"/>
      <c r="E51" s="65"/>
      <c r="F51" s="65"/>
      <c r="G51" s="66"/>
      <c r="H51" s="67">
        <v>0</v>
      </c>
      <c r="I51" s="68"/>
      <c r="J51" s="69"/>
      <c r="K51" s="56"/>
      <c r="L51" s="57"/>
      <c r="M51" s="58"/>
      <c r="N51" s="60"/>
      <c r="O51" s="61"/>
      <c r="P51" s="62"/>
      <c r="Q51" s="54"/>
      <c r="R51" s="51"/>
      <c r="S51" s="7"/>
      <c r="T51" s="7"/>
      <c r="U51" s="4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s="42" customFormat="1" ht="15" customHeight="1" x14ac:dyDescent="0.35">
      <c r="A52" s="5"/>
      <c r="B52" s="63">
        <v>8</v>
      </c>
      <c r="C52" s="64">
        <v>2</v>
      </c>
      <c r="D52" s="64" t="s">
        <v>28</v>
      </c>
      <c r="E52" s="65" t="s">
        <v>101</v>
      </c>
      <c r="F52" s="65" t="s">
        <v>92</v>
      </c>
      <c r="G52" s="66" t="s">
        <v>83</v>
      </c>
      <c r="H52" s="67" t="s">
        <v>25</v>
      </c>
      <c r="I52" s="68">
        <v>3</v>
      </c>
      <c r="J52" s="69">
        <v>66</v>
      </c>
      <c r="K52" s="56">
        <v>66</v>
      </c>
      <c r="L52" s="57">
        <v>0</v>
      </c>
      <c r="M52" s="58">
        <v>12</v>
      </c>
      <c r="N52" s="59">
        <f>SUM(L52:M57)</f>
        <v>12</v>
      </c>
      <c r="O52" s="61">
        <f>SUM(J52:K57,N52)</f>
        <v>144</v>
      </c>
      <c r="P52" s="62" t="s">
        <v>26</v>
      </c>
      <c r="Q52" s="53" t="s">
        <v>130</v>
      </c>
      <c r="R52" s="51" t="s">
        <v>106</v>
      </c>
      <c r="S52" s="7" t="s">
        <v>41</v>
      </c>
      <c r="T52" s="7" t="s">
        <v>54</v>
      </c>
      <c r="U52" s="45" t="s">
        <v>53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s="42" customFormat="1" ht="15" customHeight="1" x14ac:dyDescent="0.35">
      <c r="A53" s="5"/>
      <c r="B53" s="63">
        <v>0</v>
      </c>
      <c r="C53" s="64">
        <v>0</v>
      </c>
      <c r="D53" s="64"/>
      <c r="E53" s="65"/>
      <c r="F53" s="65"/>
      <c r="G53" s="66"/>
      <c r="H53" s="67">
        <v>0</v>
      </c>
      <c r="I53" s="68"/>
      <c r="J53" s="69"/>
      <c r="K53" s="56"/>
      <c r="L53" s="57"/>
      <c r="M53" s="58"/>
      <c r="N53" s="60"/>
      <c r="O53" s="61"/>
      <c r="P53" s="62"/>
      <c r="Q53" s="53" t="s">
        <v>131</v>
      </c>
      <c r="R53" s="51" t="s">
        <v>108</v>
      </c>
      <c r="S53" s="7" t="s">
        <v>39</v>
      </c>
      <c r="T53" s="7" t="s">
        <v>75</v>
      </c>
      <c r="U53" s="45" t="s">
        <v>47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s="42" customFormat="1" ht="15" customHeight="1" x14ac:dyDescent="0.35">
      <c r="A54" s="5"/>
      <c r="B54" s="63">
        <v>0</v>
      </c>
      <c r="C54" s="64">
        <v>0</v>
      </c>
      <c r="D54" s="64"/>
      <c r="E54" s="65"/>
      <c r="F54" s="65"/>
      <c r="G54" s="66"/>
      <c r="H54" s="67">
        <v>0</v>
      </c>
      <c r="I54" s="68"/>
      <c r="J54" s="69"/>
      <c r="K54" s="56"/>
      <c r="L54" s="57"/>
      <c r="M54" s="58"/>
      <c r="N54" s="60"/>
      <c r="O54" s="61"/>
      <c r="P54" s="62"/>
      <c r="Q54" s="53" t="s">
        <v>132</v>
      </c>
      <c r="R54" s="51" t="s">
        <v>109</v>
      </c>
      <c r="S54" s="7" t="s">
        <v>39</v>
      </c>
      <c r="T54" s="7" t="s">
        <v>77</v>
      </c>
      <c r="U54" s="4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s="42" customFormat="1" ht="15" customHeight="1" x14ac:dyDescent="0.35">
      <c r="A55" s="5"/>
      <c r="B55" s="63">
        <v>0</v>
      </c>
      <c r="C55" s="64">
        <v>0</v>
      </c>
      <c r="D55" s="64"/>
      <c r="E55" s="65"/>
      <c r="F55" s="65"/>
      <c r="G55" s="66"/>
      <c r="H55" s="67">
        <v>0</v>
      </c>
      <c r="I55" s="68"/>
      <c r="J55" s="69"/>
      <c r="K55" s="56"/>
      <c r="L55" s="57"/>
      <c r="M55" s="58"/>
      <c r="N55" s="60"/>
      <c r="O55" s="61"/>
      <c r="P55" s="62"/>
      <c r="Q55" s="54"/>
      <c r="R55" s="51"/>
      <c r="S55" s="7"/>
      <c r="T55" s="7"/>
      <c r="U55" s="4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s="42" customFormat="1" ht="15" customHeight="1" x14ac:dyDescent="0.35">
      <c r="A56" s="5"/>
      <c r="B56" s="63">
        <v>0</v>
      </c>
      <c r="C56" s="64">
        <v>0</v>
      </c>
      <c r="D56" s="64"/>
      <c r="E56" s="65"/>
      <c r="F56" s="65"/>
      <c r="G56" s="66"/>
      <c r="H56" s="67">
        <v>0</v>
      </c>
      <c r="I56" s="68"/>
      <c r="J56" s="69"/>
      <c r="K56" s="56"/>
      <c r="L56" s="57"/>
      <c r="M56" s="58"/>
      <c r="N56" s="60"/>
      <c r="O56" s="61"/>
      <c r="P56" s="62"/>
      <c r="Q56" s="54"/>
      <c r="R56" s="51"/>
      <c r="S56" s="7"/>
      <c r="T56" s="7"/>
      <c r="U56" s="4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s="42" customFormat="1" ht="15" customHeight="1" x14ac:dyDescent="0.35">
      <c r="A57" s="5"/>
      <c r="B57" s="63">
        <v>0</v>
      </c>
      <c r="C57" s="64">
        <v>0</v>
      </c>
      <c r="D57" s="64"/>
      <c r="E57" s="65"/>
      <c r="F57" s="65"/>
      <c r="G57" s="66"/>
      <c r="H57" s="67">
        <v>0</v>
      </c>
      <c r="I57" s="68"/>
      <c r="J57" s="69"/>
      <c r="K57" s="56"/>
      <c r="L57" s="57"/>
      <c r="M57" s="58"/>
      <c r="N57" s="60"/>
      <c r="O57" s="61"/>
      <c r="P57" s="62"/>
      <c r="Q57" s="54"/>
      <c r="R57" s="51"/>
      <c r="S57" s="7"/>
      <c r="T57" s="7"/>
      <c r="U57" s="4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s="42" customFormat="1" ht="15" customHeight="1" x14ac:dyDescent="0.35">
      <c r="A58" s="5"/>
      <c r="B58" s="63">
        <v>9</v>
      </c>
      <c r="C58" s="64">
        <v>2</v>
      </c>
      <c r="D58" s="64" t="s">
        <v>28</v>
      </c>
      <c r="E58" s="65" t="s">
        <v>102</v>
      </c>
      <c r="F58" s="65" t="s">
        <v>93</v>
      </c>
      <c r="G58" s="66" t="s">
        <v>83</v>
      </c>
      <c r="H58" s="67" t="s">
        <v>25</v>
      </c>
      <c r="I58" s="68">
        <v>3</v>
      </c>
      <c r="J58" s="69">
        <v>53</v>
      </c>
      <c r="K58" s="56">
        <v>79</v>
      </c>
      <c r="L58" s="57">
        <v>0</v>
      </c>
      <c r="M58" s="58">
        <v>12</v>
      </c>
      <c r="N58" s="59">
        <f t="shared" ref="N58" si="6">SUM(L58:M63)</f>
        <v>12</v>
      </c>
      <c r="O58" s="61">
        <f>SUM(J58:K63,N58)</f>
        <v>144</v>
      </c>
      <c r="P58" s="62" t="s">
        <v>26</v>
      </c>
      <c r="Q58" s="53" t="s">
        <v>133</v>
      </c>
      <c r="R58" s="51" t="s">
        <v>107</v>
      </c>
      <c r="S58" s="7" t="s">
        <v>41</v>
      </c>
      <c r="T58" s="7" t="s">
        <v>68</v>
      </c>
      <c r="U58" s="45" t="s">
        <v>55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s="42" customFormat="1" ht="15" customHeight="1" x14ac:dyDescent="0.35">
      <c r="A59" s="5"/>
      <c r="B59" s="63">
        <v>0</v>
      </c>
      <c r="C59" s="64">
        <v>0</v>
      </c>
      <c r="D59" s="64"/>
      <c r="E59" s="65"/>
      <c r="F59" s="65"/>
      <c r="G59" s="66"/>
      <c r="H59" s="67">
        <v>0</v>
      </c>
      <c r="I59" s="68"/>
      <c r="J59" s="69"/>
      <c r="K59" s="56"/>
      <c r="L59" s="57"/>
      <c r="M59" s="58"/>
      <c r="N59" s="60"/>
      <c r="O59" s="61"/>
      <c r="P59" s="62"/>
      <c r="Q59" s="53" t="s">
        <v>134</v>
      </c>
      <c r="R59" s="51" t="s">
        <v>108</v>
      </c>
      <c r="S59" s="7" t="s">
        <v>39</v>
      </c>
      <c r="T59" s="7" t="s">
        <v>54</v>
      </c>
      <c r="U59" s="45" t="s">
        <v>47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s="42" customFormat="1" ht="15" customHeight="1" x14ac:dyDescent="0.35">
      <c r="A60" s="5"/>
      <c r="B60" s="63">
        <v>0</v>
      </c>
      <c r="C60" s="64">
        <v>0</v>
      </c>
      <c r="D60" s="64"/>
      <c r="E60" s="65"/>
      <c r="F60" s="65"/>
      <c r="G60" s="66"/>
      <c r="H60" s="67">
        <v>0</v>
      </c>
      <c r="I60" s="68"/>
      <c r="J60" s="69"/>
      <c r="K60" s="56"/>
      <c r="L60" s="57"/>
      <c r="M60" s="58"/>
      <c r="N60" s="60"/>
      <c r="O60" s="61"/>
      <c r="P60" s="62"/>
      <c r="Q60" s="54"/>
      <c r="R60" s="51"/>
      <c r="S60" s="7"/>
      <c r="T60" s="7"/>
      <c r="U60" s="4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s="42" customFormat="1" ht="15" customHeight="1" x14ac:dyDescent="0.35">
      <c r="A61" s="5"/>
      <c r="B61" s="63">
        <v>0</v>
      </c>
      <c r="C61" s="64">
        <v>0</v>
      </c>
      <c r="D61" s="64"/>
      <c r="E61" s="65"/>
      <c r="F61" s="65"/>
      <c r="G61" s="66"/>
      <c r="H61" s="67">
        <v>0</v>
      </c>
      <c r="I61" s="68"/>
      <c r="J61" s="69"/>
      <c r="K61" s="56"/>
      <c r="L61" s="57"/>
      <c r="M61" s="58"/>
      <c r="N61" s="60"/>
      <c r="O61" s="61"/>
      <c r="P61" s="62"/>
      <c r="Q61" s="54"/>
      <c r="R61" s="51"/>
      <c r="S61" s="7"/>
      <c r="T61" s="7"/>
      <c r="U61" s="4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s="42" customFormat="1" ht="15" customHeight="1" x14ac:dyDescent="0.35">
      <c r="A62" s="5"/>
      <c r="B62" s="63">
        <v>0</v>
      </c>
      <c r="C62" s="64">
        <v>0</v>
      </c>
      <c r="D62" s="64"/>
      <c r="E62" s="65"/>
      <c r="F62" s="65"/>
      <c r="G62" s="66"/>
      <c r="H62" s="67">
        <v>0</v>
      </c>
      <c r="I62" s="68"/>
      <c r="J62" s="69"/>
      <c r="K62" s="56"/>
      <c r="L62" s="57"/>
      <c r="M62" s="58"/>
      <c r="N62" s="60"/>
      <c r="O62" s="61"/>
      <c r="P62" s="62"/>
      <c r="Q62" s="54"/>
      <c r="R62" s="51"/>
      <c r="S62" s="7"/>
      <c r="T62" s="7"/>
      <c r="U62" s="4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s="42" customFormat="1" ht="15" customHeight="1" x14ac:dyDescent="0.35">
      <c r="A63" s="5"/>
      <c r="B63" s="63">
        <v>0</v>
      </c>
      <c r="C63" s="64">
        <v>0</v>
      </c>
      <c r="D63" s="64"/>
      <c r="E63" s="65"/>
      <c r="F63" s="65"/>
      <c r="G63" s="66"/>
      <c r="H63" s="67">
        <v>0</v>
      </c>
      <c r="I63" s="68"/>
      <c r="J63" s="69"/>
      <c r="K63" s="56"/>
      <c r="L63" s="57"/>
      <c r="M63" s="58"/>
      <c r="N63" s="60"/>
      <c r="O63" s="61"/>
      <c r="P63" s="62"/>
      <c r="Q63" s="54"/>
      <c r="R63" s="51"/>
      <c r="S63" s="7"/>
      <c r="T63" s="7"/>
      <c r="U63" s="45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s="42" customFormat="1" ht="15" customHeight="1" x14ac:dyDescent="0.35">
      <c r="A64" s="5"/>
      <c r="B64" s="63">
        <v>10</v>
      </c>
      <c r="C64" s="64">
        <v>2</v>
      </c>
      <c r="D64" s="64" t="s">
        <v>28</v>
      </c>
      <c r="E64" s="65" t="s">
        <v>103</v>
      </c>
      <c r="F64" s="65" t="s">
        <v>94</v>
      </c>
      <c r="G64" s="66" t="s">
        <v>83</v>
      </c>
      <c r="H64" s="67" t="s">
        <v>25</v>
      </c>
      <c r="I64" s="68">
        <v>2</v>
      </c>
      <c r="J64" s="69">
        <v>35</v>
      </c>
      <c r="K64" s="56">
        <v>53</v>
      </c>
      <c r="L64" s="57">
        <v>0</v>
      </c>
      <c r="M64" s="58">
        <v>8</v>
      </c>
      <c r="N64" s="59">
        <f t="shared" ref="N64" si="7">SUM(L64:M69)</f>
        <v>8</v>
      </c>
      <c r="O64" s="61">
        <f>SUM(J64:K69,N64)</f>
        <v>96</v>
      </c>
      <c r="P64" s="62" t="s">
        <v>26</v>
      </c>
      <c r="Q64" s="53" t="s">
        <v>135</v>
      </c>
      <c r="R64" s="51" t="s">
        <v>108</v>
      </c>
      <c r="S64" s="7" t="s">
        <v>39</v>
      </c>
      <c r="T64" s="7" t="s">
        <v>48</v>
      </c>
      <c r="U64" s="45" t="s">
        <v>47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s="42" customFormat="1" ht="15" customHeight="1" x14ac:dyDescent="0.35">
      <c r="A65" s="5"/>
      <c r="B65" s="63">
        <v>0</v>
      </c>
      <c r="C65" s="64">
        <v>0</v>
      </c>
      <c r="D65" s="64"/>
      <c r="E65" s="65"/>
      <c r="F65" s="65"/>
      <c r="G65" s="66"/>
      <c r="H65" s="67">
        <v>0</v>
      </c>
      <c r="I65" s="68"/>
      <c r="J65" s="69"/>
      <c r="K65" s="56"/>
      <c r="L65" s="57"/>
      <c r="M65" s="58"/>
      <c r="N65" s="60"/>
      <c r="O65" s="61"/>
      <c r="P65" s="62"/>
      <c r="Q65" s="53" t="s">
        <v>136</v>
      </c>
      <c r="R65" s="51" t="s">
        <v>109</v>
      </c>
      <c r="S65" s="7" t="s">
        <v>41</v>
      </c>
      <c r="T65" s="7" t="s">
        <v>54</v>
      </c>
      <c r="U65" s="45" t="s">
        <v>59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s="42" customFormat="1" ht="15" customHeight="1" x14ac:dyDescent="0.35">
      <c r="A66" s="5"/>
      <c r="B66" s="63">
        <v>0</v>
      </c>
      <c r="C66" s="64">
        <v>0</v>
      </c>
      <c r="D66" s="64"/>
      <c r="E66" s="65"/>
      <c r="F66" s="65"/>
      <c r="G66" s="66"/>
      <c r="H66" s="67">
        <v>0</v>
      </c>
      <c r="I66" s="68"/>
      <c r="J66" s="69"/>
      <c r="K66" s="56"/>
      <c r="L66" s="57"/>
      <c r="M66" s="58"/>
      <c r="N66" s="60"/>
      <c r="O66" s="61"/>
      <c r="P66" s="62"/>
      <c r="Q66" s="54"/>
      <c r="R66" s="51"/>
      <c r="S66" s="7"/>
      <c r="T66" s="7"/>
      <c r="U66" s="4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s="42" customFormat="1" ht="15" customHeight="1" x14ac:dyDescent="0.35">
      <c r="A67" s="5"/>
      <c r="B67" s="63">
        <v>0</v>
      </c>
      <c r="C67" s="64">
        <v>0</v>
      </c>
      <c r="D67" s="64"/>
      <c r="E67" s="65"/>
      <c r="F67" s="65"/>
      <c r="G67" s="66"/>
      <c r="H67" s="67">
        <v>0</v>
      </c>
      <c r="I67" s="68"/>
      <c r="J67" s="69"/>
      <c r="K67" s="56"/>
      <c r="L67" s="57"/>
      <c r="M67" s="58"/>
      <c r="N67" s="60"/>
      <c r="O67" s="61"/>
      <c r="P67" s="62"/>
      <c r="Q67" s="54"/>
      <c r="R67" s="51"/>
      <c r="S67" s="7"/>
      <c r="T67" s="7"/>
      <c r="U67" s="4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s="42" customFormat="1" ht="15" customHeight="1" x14ac:dyDescent="0.35">
      <c r="A68" s="5"/>
      <c r="B68" s="63">
        <v>0</v>
      </c>
      <c r="C68" s="64">
        <v>0</v>
      </c>
      <c r="D68" s="64"/>
      <c r="E68" s="65"/>
      <c r="F68" s="65"/>
      <c r="G68" s="66"/>
      <c r="H68" s="67">
        <v>0</v>
      </c>
      <c r="I68" s="68"/>
      <c r="J68" s="69"/>
      <c r="K68" s="56"/>
      <c r="L68" s="57"/>
      <c r="M68" s="58"/>
      <c r="N68" s="60"/>
      <c r="O68" s="61"/>
      <c r="P68" s="62"/>
      <c r="Q68" s="54"/>
      <c r="R68" s="51"/>
      <c r="S68" s="7"/>
      <c r="T68" s="7"/>
      <c r="U68" s="4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s="42" customFormat="1" ht="15" customHeight="1" x14ac:dyDescent="0.35">
      <c r="A69" s="5"/>
      <c r="B69" s="63">
        <v>0</v>
      </c>
      <c r="C69" s="64">
        <v>0</v>
      </c>
      <c r="D69" s="64"/>
      <c r="E69" s="65"/>
      <c r="F69" s="65"/>
      <c r="G69" s="66"/>
      <c r="H69" s="67">
        <v>0</v>
      </c>
      <c r="I69" s="68"/>
      <c r="J69" s="69"/>
      <c r="K69" s="56"/>
      <c r="L69" s="57"/>
      <c r="M69" s="58"/>
      <c r="N69" s="60"/>
      <c r="O69" s="61"/>
      <c r="P69" s="62"/>
      <c r="Q69" s="54"/>
      <c r="R69" s="51"/>
      <c r="S69" s="7"/>
      <c r="T69" s="7"/>
      <c r="U69" s="4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s="42" customFormat="1" ht="15" customHeight="1" x14ac:dyDescent="0.35">
      <c r="A70" s="5"/>
      <c r="B70" s="63">
        <v>11</v>
      </c>
      <c r="C70" s="64">
        <v>2</v>
      </c>
      <c r="D70" s="64" t="s">
        <v>28</v>
      </c>
      <c r="E70" s="65" t="s">
        <v>104</v>
      </c>
      <c r="F70" s="65" t="s">
        <v>95</v>
      </c>
      <c r="G70" s="66" t="s">
        <v>83</v>
      </c>
      <c r="H70" s="67"/>
      <c r="I70" s="68">
        <v>3</v>
      </c>
      <c r="J70" s="69">
        <v>53</v>
      </c>
      <c r="K70" s="56">
        <v>79</v>
      </c>
      <c r="L70" s="57">
        <v>0</v>
      </c>
      <c r="M70" s="58">
        <v>12</v>
      </c>
      <c r="N70" s="59">
        <f>SUM(L70:M75)</f>
        <v>12</v>
      </c>
      <c r="O70" s="61">
        <v>144</v>
      </c>
      <c r="P70" s="62" t="s">
        <v>26</v>
      </c>
      <c r="Q70" s="53" t="s">
        <v>137</v>
      </c>
      <c r="R70" s="51" t="s">
        <v>107</v>
      </c>
      <c r="S70" s="7" t="s">
        <v>39</v>
      </c>
      <c r="T70" s="7" t="s">
        <v>67</v>
      </c>
      <c r="U70" s="45" t="s">
        <v>47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s="42" customFormat="1" ht="15" customHeight="1" x14ac:dyDescent="0.35">
      <c r="A71" s="5"/>
      <c r="B71" s="63"/>
      <c r="C71" s="64">
        <v>0</v>
      </c>
      <c r="D71" s="64"/>
      <c r="E71" s="65"/>
      <c r="F71" s="65"/>
      <c r="G71" s="66"/>
      <c r="H71" s="67"/>
      <c r="I71" s="68"/>
      <c r="J71" s="69"/>
      <c r="K71" s="56"/>
      <c r="L71" s="57"/>
      <c r="M71" s="58"/>
      <c r="N71" s="60"/>
      <c r="O71" s="61"/>
      <c r="P71" s="62"/>
      <c r="Q71" s="53" t="s">
        <v>139</v>
      </c>
      <c r="R71" s="51" t="s">
        <v>107</v>
      </c>
      <c r="S71" s="7" t="s">
        <v>39</v>
      </c>
      <c r="T71" s="7" t="s">
        <v>46</v>
      </c>
      <c r="U71" s="45" t="s">
        <v>49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s="42" customFormat="1" ht="15" customHeight="1" x14ac:dyDescent="0.35">
      <c r="A72" s="5"/>
      <c r="B72" s="63"/>
      <c r="C72" s="64">
        <v>0</v>
      </c>
      <c r="D72" s="64"/>
      <c r="E72" s="65"/>
      <c r="F72" s="65"/>
      <c r="G72" s="66"/>
      <c r="H72" s="67"/>
      <c r="I72" s="68"/>
      <c r="J72" s="69"/>
      <c r="K72" s="56"/>
      <c r="L72" s="57"/>
      <c r="M72" s="58"/>
      <c r="N72" s="60"/>
      <c r="O72" s="61"/>
      <c r="P72" s="62"/>
      <c r="Q72" s="53" t="s">
        <v>138</v>
      </c>
      <c r="R72" s="51" t="s">
        <v>109</v>
      </c>
      <c r="S72" s="7" t="s">
        <v>39</v>
      </c>
      <c r="T72" s="7" t="s">
        <v>54</v>
      </c>
      <c r="U72" s="45" t="s">
        <v>47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s="42" customFormat="1" ht="15" customHeight="1" x14ac:dyDescent="0.35">
      <c r="A73" s="5"/>
      <c r="B73" s="63"/>
      <c r="C73" s="64">
        <v>0</v>
      </c>
      <c r="D73" s="64"/>
      <c r="E73" s="65"/>
      <c r="F73" s="65"/>
      <c r="G73" s="66"/>
      <c r="H73" s="67"/>
      <c r="I73" s="68"/>
      <c r="J73" s="69"/>
      <c r="K73" s="56"/>
      <c r="L73" s="57"/>
      <c r="M73" s="58"/>
      <c r="N73" s="60"/>
      <c r="O73" s="61"/>
      <c r="P73" s="62"/>
      <c r="Q73" s="54"/>
      <c r="R73" s="51"/>
      <c r="S73" s="7"/>
      <c r="T73" s="7"/>
      <c r="U73" s="45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s="42" customFormat="1" ht="15" customHeight="1" x14ac:dyDescent="0.35">
      <c r="A74" s="5"/>
      <c r="B74" s="63"/>
      <c r="C74" s="64">
        <v>0</v>
      </c>
      <c r="D74" s="64"/>
      <c r="E74" s="65"/>
      <c r="F74" s="65"/>
      <c r="G74" s="66"/>
      <c r="H74" s="67"/>
      <c r="I74" s="68"/>
      <c r="J74" s="69"/>
      <c r="K74" s="56"/>
      <c r="L74" s="57"/>
      <c r="M74" s="58"/>
      <c r="N74" s="60"/>
      <c r="O74" s="61"/>
      <c r="P74" s="62"/>
      <c r="Q74" s="54"/>
      <c r="R74" s="51"/>
      <c r="S74" s="7"/>
      <c r="T74" s="7"/>
      <c r="U74" s="45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s="42" customFormat="1" ht="15" customHeight="1" x14ac:dyDescent="0.35">
      <c r="A75" s="5"/>
      <c r="B75" s="63"/>
      <c r="C75" s="64">
        <v>0</v>
      </c>
      <c r="D75" s="64"/>
      <c r="E75" s="65"/>
      <c r="F75" s="65"/>
      <c r="G75" s="66"/>
      <c r="H75" s="67"/>
      <c r="I75" s="68"/>
      <c r="J75" s="69"/>
      <c r="K75" s="56"/>
      <c r="L75" s="57"/>
      <c r="M75" s="58"/>
      <c r="N75" s="60"/>
      <c r="O75" s="61"/>
      <c r="P75" s="62"/>
      <c r="Q75" s="54"/>
      <c r="R75" s="51"/>
      <c r="S75" s="7"/>
      <c r="T75" s="7"/>
      <c r="U75" s="45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s="42" customFormat="1" ht="15" customHeight="1" x14ac:dyDescent="0.35">
      <c r="A76" s="5"/>
      <c r="B76" s="63">
        <v>12</v>
      </c>
      <c r="C76" s="64">
        <v>5</v>
      </c>
      <c r="D76" s="64" t="s">
        <v>28</v>
      </c>
      <c r="E76" s="65" t="s">
        <v>105</v>
      </c>
      <c r="F76" s="65" t="s">
        <v>96</v>
      </c>
      <c r="G76" s="66" t="s">
        <v>83</v>
      </c>
      <c r="H76" s="67" t="s">
        <v>25</v>
      </c>
      <c r="I76" s="68">
        <v>2</v>
      </c>
      <c r="J76" s="69">
        <v>35</v>
      </c>
      <c r="K76" s="56">
        <v>53</v>
      </c>
      <c r="L76" s="57">
        <v>0</v>
      </c>
      <c r="M76" s="58">
        <v>8</v>
      </c>
      <c r="N76" s="59">
        <f t="shared" ref="N76" si="8">SUM(L76:M81)</f>
        <v>8</v>
      </c>
      <c r="O76" s="61">
        <f>SUM(J76:K81,N76)</f>
        <v>96</v>
      </c>
      <c r="P76" s="62" t="s">
        <v>26</v>
      </c>
      <c r="Q76" s="53" t="s">
        <v>140</v>
      </c>
      <c r="R76" s="51" t="s">
        <v>108</v>
      </c>
      <c r="S76" s="7" t="s">
        <v>41</v>
      </c>
      <c r="T76" s="7" t="s">
        <v>60</v>
      </c>
      <c r="U76" s="45" t="s">
        <v>57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s="42" customFormat="1" ht="15" customHeight="1" x14ac:dyDescent="0.35">
      <c r="A77" s="5"/>
      <c r="B77" s="63">
        <v>0</v>
      </c>
      <c r="C77" s="64">
        <v>0</v>
      </c>
      <c r="D77" s="64"/>
      <c r="E77" s="65"/>
      <c r="F77" s="65"/>
      <c r="G77" s="66"/>
      <c r="H77" s="67">
        <v>0</v>
      </c>
      <c r="I77" s="68"/>
      <c r="J77" s="69"/>
      <c r="K77" s="56"/>
      <c r="L77" s="57"/>
      <c r="M77" s="58"/>
      <c r="N77" s="60"/>
      <c r="O77" s="61"/>
      <c r="P77" s="62"/>
      <c r="Q77" s="53" t="s">
        <v>141</v>
      </c>
      <c r="R77" s="51" t="s">
        <v>109</v>
      </c>
      <c r="S77" s="7" t="s">
        <v>39</v>
      </c>
      <c r="T77" s="7" t="s">
        <v>60</v>
      </c>
      <c r="U77" s="45" t="s">
        <v>47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s="42" customFormat="1" ht="15" customHeight="1" x14ac:dyDescent="0.35">
      <c r="A78" s="5"/>
      <c r="B78" s="63">
        <v>0</v>
      </c>
      <c r="C78" s="64">
        <v>0</v>
      </c>
      <c r="D78" s="64"/>
      <c r="E78" s="65"/>
      <c r="F78" s="65"/>
      <c r="G78" s="66"/>
      <c r="H78" s="67">
        <v>0</v>
      </c>
      <c r="I78" s="68"/>
      <c r="J78" s="69"/>
      <c r="K78" s="56"/>
      <c r="L78" s="57"/>
      <c r="M78" s="58"/>
      <c r="N78" s="60"/>
      <c r="O78" s="61"/>
      <c r="P78" s="62"/>
      <c r="Q78" s="54"/>
      <c r="R78" s="51"/>
      <c r="S78" s="7"/>
      <c r="T78" s="7"/>
      <c r="U78" s="45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s="42" customFormat="1" ht="15" customHeight="1" x14ac:dyDescent="0.35">
      <c r="A79" s="5"/>
      <c r="B79" s="63">
        <v>0</v>
      </c>
      <c r="C79" s="64">
        <v>0</v>
      </c>
      <c r="D79" s="64"/>
      <c r="E79" s="65"/>
      <c r="F79" s="65"/>
      <c r="G79" s="66"/>
      <c r="H79" s="67">
        <v>0</v>
      </c>
      <c r="I79" s="68"/>
      <c r="J79" s="69"/>
      <c r="K79" s="56"/>
      <c r="L79" s="57"/>
      <c r="M79" s="58"/>
      <c r="N79" s="60"/>
      <c r="O79" s="61"/>
      <c r="P79" s="62"/>
      <c r="Q79" s="54"/>
      <c r="R79" s="51"/>
      <c r="S79" s="7"/>
      <c r="T79" s="7"/>
      <c r="U79" s="45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s="42" customFormat="1" ht="15" customHeight="1" x14ac:dyDescent="0.35">
      <c r="A80" s="5"/>
      <c r="B80" s="63">
        <v>0</v>
      </c>
      <c r="C80" s="64">
        <v>0</v>
      </c>
      <c r="D80" s="64"/>
      <c r="E80" s="65"/>
      <c r="F80" s="65"/>
      <c r="G80" s="66"/>
      <c r="H80" s="67">
        <v>0</v>
      </c>
      <c r="I80" s="68"/>
      <c r="J80" s="69"/>
      <c r="K80" s="56"/>
      <c r="L80" s="57"/>
      <c r="M80" s="58"/>
      <c r="N80" s="60"/>
      <c r="O80" s="61"/>
      <c r="P80" s="65"/>
      <c r="Q80" s="55"/>
      <c r="R80" s="43"/>
      <c r="S80" s="7"/>
      <c r="T80" s="7"/>
      <c r="U80" s="45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s="42" customFormat="1" ht="15" customHeight="1" thickBot="1" x14ac:dyDescent="0.4">
      <c r="A81" s="5"/>
      <c r="B81" s="120">
        <v>0</v>
      </c>
      <c r="C81" s="121">
        <v>0</v>
      </c>
      <c r="D81" s="121"/>
      <c r="E81" s="119"/>
      <c r="F81" s="119"/>
      <c r="G81" s="122"/>
      <c r="H81" s="123">
        <v>0</v>
      </c>
      <c r="I81" s="124"/>
      <c r="J81" s="125"/>
      <c r="K81" s="114"/>
      <c r="L81" s="115"/>
      <c r="M81" s="116"/>
      <c r="N81" s="117"/>
      <c r="O81" s="118"/>
      <c r="P81" s="119"/>
      <c r="Q81" s="46"/>
      <c r="R81" s="47"/>
      <c r="S81" s="48"/>
      <c r="T81" s="48"/>
      <c r="U81" s="49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</sheetData>
  <sheetProtection algorithmName="SHA-512" hashValue="0Kip8lZaI5CzqezPTwR5mgetUXNX+rh18Z/ZgPAEJGVO6lB+viqqnanzojLlkit/BKSFQVIicuzWTa1XKJf24g==" saltValue="AYCeGoUb4jxZifnZOCdL2g==" spinCount="100000" sheet="1"/>
  <autoFilter ref="B8:U81" xr:uid="{A5F49CE0-505F-4B23-8D8E-667DFE45AE1C}">
    <filterColumn colId="10" showButton="0"/>
    <filterColumn colId="11" showButton="0"/>
  </autoFilter>
  <mergeCells count="199">
    <mergeCell ref="K76:K81"/>
    <mergeCell ref="L76:L81"/>
    <mergeCell ref="M76:M81"/>
    <mergeCell ref="N76:N81"/>
    <mergeCell ref="O76:O81"/>
    <mergeCell ref="P76:P81"/>
    <mergeCell ref="B76:B81"/>
    <mergeCell ref="C76:C81"/>
    <mergeCell ref="D76:D81"/>
    <mergeCell ref="E76:E81"/>
    <mergeCell ref="F76:F81"/>
    <mergeCell ref="G76:G81"/>
    <mergeCell ref="H76:H81"/>
    <mergeCell ref="I76:I81"/>
    <mergeCell ref="J76:J81"/>
    <mergeCell ref="O64:O69"/>
    <mergeCell ref="P64:P69"/>
    <mergeCell ref="G64:G69"/>
    <mergeCell ref="H64:H69"/>
    <mergeCell ref="I64:I69"/>
    <mergeCell ref="J64:J69"/>
    <mergeCell ref="K64:K69"/>
    <mergeCell ref="B58:B63"/>
    <mergeCell ref="C58:C63"/>
    <mergeCell ref="D58:D63"/>
    <mergeCell ref="E58:E63"/>
    <mergeCell ref="F58:F63"/>
    <mergeCell ref="B64:B69"/>
    <mergeCell ref="C64:C69"/>
    <mergeCell ref="D64:D69"/>
    <mergeCell ref="E64:E69"/>
    <mergeCell ref="F64:F69"/>
    <mergeCell ref="L64:L69"/>
    <mergeCell ref="M64:M69"/>
    <mergeCell ref="N64:N69"/>
    <mergeCell ref="P52:P57"/>
    <mergeCell ref="G52:G57"/>
    <mergeCell ref="H52:H57"/>
    <mergeCell ref="I52:I57"/>
    <mergeCell ref="J52:J57"/>
    <mergeCell ref="K52:K57"/>
    <mergeCell ref="P58:P63"/>
    <mergeCell ref="G58:G63"/>
    <mergeCell ref="H58:H63"/>
    <mergeCell ref="I58:I63"/>
    <mergeCell ref="J58:J63"/>
    <mergeCell ref="K58:K63"/>
    <mergeCell ref="L58:L63"/>
    <mergeCell ref="M58:M63"/>
    <mergeCell ref="N58:N63"/>
    <mergeCell ref="O58:O63"/>
    <mergeCell ref="B52:B57"/>
    <mergeCell ref="C52:C57"/>
    <mergeCell ref="D52:D57"/>
    <mergeCell ref="E52:E57"/>
    <mergeCell ref="F52:F57"/>
    <mergeCell ref="L46:L51"/>
    <mergeCell ref="M46:M51"/>
    <mergeCell ref="N46:N51"/>
    <mergeCell ref="O46:O51"/>
    <mergeCell ref="L52:L57"/>
    <mergeCell ref="M52:M57"/>
    <mergeCell ref="N52:N57"/>
    <mergeCell ref="O52:O57"/>
    <mergeCell ref="P46:P51"/>
    <mergeCell ref="G46:G51"/>
    <mergeCell ref="H46:H51"/>
    <mergeCell ref="I46:I51"/>
    <mergeCell ref="J46:J51"/>
    <mergeCell ref="K46:K51"/>
    <mergeCell ref="B46:B51"/>
    <mergeCell ref="C46:C51"/>
    <mergeCell ref="D46:D51"/>
    <mergeCell ref="E46:E51"/>
    <mergeCell ref="F46:F51"/>
    <mergeCell ref="L40:L45"/>
    <mergeCell ref="M40:M45"/>
    <mergeCell ref="N40:N45"/>
    <mergeCell ref="O40:O45"/>
    <mergeCell ref="P40:P45"/>
    <mergeCell ref="G40:G45"/>
    <mergeCell ref="H40:H45"/>
    <mergeCell ref="I40:I45"/>
    <mergeCell ref="J40:J45"/>
    <mergeCell ref="K40:K45"/>
    <mergeCell ref="B34:B39"/>
    <mergeCell ref="C34:C39"/>
    <mergeCell ref="D34:D39"/>
    <mergeCell ref="E34:E39"/>
    <mergeCell ref="F34:F39"/>
    <mergeCell ref="B40:B45"/>
    <mergeCell ref="C40:C45"/>
    <mergeCell ref="D40:D45"/>
    <mergeCell ref="E40:E45"/>
    <mergeCell ref="F40:F45"/>
    <mergeCell ref="P28:P33"/>
    <mergeCell ref="G28:G33"/>
    <mergeCell ref="H28:H33"/>
    <mergeCell ref="I28:I33"/>
    <mergeCell ref="J28:J33"/>
    <mergeCell ref="K28:K33"/>
    <mergeCell ref="P34:P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B28:B33"/>
    <mergeCell ref="C28:C33"/>
    <mergeCell ref="D28:D33"/>
    <mergeCell ref="E28:E33"/>
    <mergeCell ref="F28:F33"/>
    <mergeCell ref="L22:L27"/>
    <mergeCell ref="M22:M27"/>
    <mergeCell ref="N22:N27"/>
    <mergeCell ref="O22:O27"/>
    <mergeCell ref="L28:L33"/>
    <mergeCell ref="M28:M33"/>
    <mergeCell ref="N28:N33"/>
    <mergeCell ref="O28:O33"/>
    <mergeCell ref="P22:P27"/>
    <mergeCell ref="G22:G27"/>
    <mergeCell ref="H22:H27"/>
    <mergeCell ref="I22:I27"/>
    <mergeCell ref="J22:J27"/>
    <mergeCell ref="K22:K27"/>
    <mergeCell ref="B22:B27"/>
    <mergeCell ref="C22:C27"/>
    <mergeCell ref="D22:D27"/>
    <mergeCell ref="E22:E27"/>
    <mergeCell ref="F22:F27"/>
    <mergeCell ref="B16:B21"/>
    <mergeCell ref="C16:C21"/>
    <mergeCell ref="D16:D21"/>
    <mergeCell ref="E16:E21"/>
    <mergeCell ref="J10:J15"/>
    <mergeCell ref="I10:I15"/>
    <mergeCell ref="H10:H15"/>
    <mergeCell ref="G10:G15"/>
    <mergeCell ref="F10:F15"/>
    <mergeCell ref="K16:K21"/>
    <mergeCell ref="L16:L21"/>
    <mergeCell ref="M16:M21"/>
    <mergeCell ref="N16:N21"/>
    <mergeCell ref="O16:O21"/>
    <mergeCell ref="P16:P21"/>
    <mergeCell ref="F16:F21"/>
    <mergeCell ref="G16:G21"/>
    <mergeCell ref="H16:H21"/>
    <mergeCell ref="I16:I21"/>
    <mergeCell ref="J16:J21"/>
    <mergeCell ref="R8:R9"/>
    <mergeCell ref="Q8:Q9"/>
    <mergeCell ref="S8:S9"/>
    <mergeCell ref="T8:T9"/>
    <mergeCell ref="U8:U9"/>
    <mergeCell ref="B2:U4"/>
    <mergeCell ref="B8:B9"/>
    <mergeCell ref="E8:E9"/>
    <mergeCell ref="D8:D9"/>
    <mergeCell ref="C8:C9"/>
    <mergeCell ref="K8:K9"/>
    <mergeCell ref="H8:H9"/>
    <mergeCell ref="F8:F9"/>
    <mergeCell ref="L8:N8"/>
    <mergeCell ref="G8:G9"/>
    <mergeCell ref="I8:I9"/>
    <mergeCell ref="J8:J9"/>
    <mergeCell ref="P8:P9"/>
    <mergeCell ref="O8:O9"/>
    <mergeCell ref="M10:M15"/>
    <mergeCell ref="L10:L15"/>
    <mergeCell ref="K10:K15"/>
    <mergeCell ref="E10:E15"/>
    <mergeCell ref="D10:D15"/>
    <mergeCell ref="C10:C15"/>
    <mergeCell ref="B10:B15"/>
    <mergeCell ref="P10:P15"/>
    <mergeCell ref="O10:O15"/>
    <mergeCell ref="N10:N15"/>
    <mergeCell ref="K70:K75"/>
    <mergeCell ref="L70:L75"/>
    <mergeCell ref="M70:M75"/>
    <mergeCell ref="N70:N75"/>
    <mergeCell ref="O70:O75"/>
    <mergeCell ref="P70:P75"/>
    <mergeCell ref="B70:B75"/>
    <mergeCell ref="C70:C75"/>
    <mergeCell ref="D70:D75"/>
    <mergeCell ref="E70:E75"/>
    <mergeCell ref="F70:F75"/>
    <mergeCell ref="G70:G75"/>
    <mergeCell ref="H70:H75"/>
    <mergeCell ref="I70:I75"/>
    <mergeCell ref="J70:J75"/>
  </mergeCells>
  <phoneticPr fontId="5" type="noConversion"/>
  <conditionalFormatting sqref="S10:S81">
    <cfRule type="containsText" dxfId="2" priority="6" operator="containsText" text="Assessment">
      <formula>NOT(ISERROR(SEARCH("Assessment",S10)))</formula>
    </cfRule>
    <cfRule type="containsText" dxfId="1" priority="7" operator="containsText" text="Formativa">
      <formula>NOT(ISERROR(SEARCH("Formativa",S10)))</formula>
    </cfRule>
  </conditionalFormatting>
  <conditionalFormatting sqref="U10:U81">
    <cfRule type="containsText" dxfId="0" priority="17" operator="containsText" text="PMEA">
      <formula>NOT(ISERROR(SEARCH("PMEA",U10)))</formula>
    </cfRule>
  </conditionalFormatting>
  <dataValidations count="2">
    <dataValidation type="list" allowBlank="1" showInputMessage="1" showErrorMessage="1" sqref="S82:U115 S10:S81" xr:uid="{24364517-B329-42DE-8020-A787438A7978}">
      <formula1>TIPO</formula1>
    </dataValidation>
    <dataValidation allowBlank="1" showInputMessage="1" showErrorMessage="1" sqref="Q63 Q68:Q75 Q25:Q27 Q32:Q33 Q14:Q15 Q38:Q39 Q55:Q57 Q44:Q45 Q50:Q51 Q20:Q21 Q80:Q81" xr:uid="{EA7C0304-CD0E-4E37-A2FF-F67343B2C789}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80E70A-D3CB-4570-A5E0-083E9FE3E5BF}">
          <x14:formula1>
            <xm:f>'RP-RI'!$B$13:$B$17</xm:f>
          </x14:formula1>
          <xm:sqref>P16 P22 P28 P34 P40 P46 P52 P58 P64 P10 P76 P70</xm:sqref>
        </x14:dataValidation>
        <x14:dataValidation type="list" allowBlank="1" showInputMessage="1" showErrorMessage="1" xr:uid="{2C8F828C-D183-48A8-9D7B-EA6A6682D6A8}">
          <x14:formula1>
            <xm:f>'RP-RI'!$B$20:$B$37</xm:f>
          </x14:formula1>
          <xm:sqref>T10:T81</xm:sqref>
        </x14:dataValidation>
        <x14:dataValidation type="list" allowBlank="1" showInputMessage="1" showErrorMessage="1" xr:uid="{40829357-06A2-AA4E-BF40-720E0C728F2A}">
          <x14:formula1>
            <xm:f>#REF!</xm:f>
          </x14:formula1>
          <xm:sqref>R10:R81</xm:sqref>
        </x14:dataValidation>
        <x14:dataValidation type="list" allowBlank="1" showInputMessage="1" showErrorMessage="1" xr:uid="{53A65E81-A9EE-4002-938F-0EC7FF7394FF}">
          <x14:formula1>
            <xm:f>'RP-RI'!$C$20:$C$26</xm:f>
          </x14:formula1>
          <xm:sqref>U10:U81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03EB-1345-4DF6-86C0-98A263A2138D}">
  <sheetPr codeName="Hoja4"/>
  <dimension ref="B2:D42"/>
  <sheetViews>
    <sheetView workbookViewId="0">
      <selection activeCell="B51" sqref="B51"/>
    </sheetView>
  </sheetViews>
  <sheetFormatPr baseColWidth="10" defaultColWidth="11.453125" defaultRowHeight="14.5" x14ac:dyDescent="0.35"/>
  <cols>
    <col min="2" max="2" width="68.453125" customWidth="1"/>
    <col min="3" max="3" width="39.26953125" bestFit="1" customWidth="1"/>
    <col min="4" max="4" width="33.1796875" bestFit="1" customWidth="1"/>
    <col min="5" max="6" width="38.453125" bestFit="1" customWidth="1"/>
  </cols>
  <sheetData>
    <row r="2" spans="2:3" ht="15" hidden="1" thickBot="1" x14ac:dyDescent="0.4">
      <c r="B2" s="16" t="s">
        <v>15</v>
      </c>
      <c r="C2" s="17" t="s">
        <v>19</v>
      </c>
    </row>
    <row r="3" spans="2:3" ht="39" hidden="1" x14ac:dyDescent="0.35">
      <c r="B3" s="2" t="s">
        <v>106</v>
      </c>
      <c r="C3" s="18" t="s">
        <v>29</v>
      </c>
    </row>
    <row r="4" spans="2:3" ht="39" hidden="1" x14ac:dyDescent="0.35">
      <c r="B4" s="2" t="s">
        <v>107</v>
      </c>
      <c r="C4" s="19" t="s">
        <v>30</v>
      </c>
    </row>
    <row r="5" spans="2:3" ht="39" hidden="1" x14ac:dyDescent="0.35">
      <c r="B5" s="2" t="s">
        <v>108</v>
      </c>
      <c r="C5" s="19" t="s">
        <v>31</v>
      </c>
    </row>
    <row r="6" spans="2:3" ht="39" hidden="1" x14ac:dyDescent="0.35">
      <c r="B6" s="2" t="s">
        <v>109</v>
      </c>
      <c r="C6" s="19" t="s">
        <v>32</v>
      </c>
    </row>
    <row r="7" spans="2:3" hidden="1" x14ac:dyDescent="0.35">
      <c r="B7" s="2"/>
      <c r="C7" s="19" t="s">
        <v>33</v>
      </c>
    </row>
    <row r="8" spans="2:3" hidden="1" x14ac:dyDescent="0.35">
      <c r="B8" s="2"/>
      <c r="C8" s="19" t="s">
        <v>34</v>
      </c>
    </row>
    <row r="9" spans="2:3" hidden="1" x14ac:dyDescent="0.35">
      <c r="B9" s="14"/>
      <c r="C9" s="19" t="s">
        <v>35</v>
      </c>
    </row>
    <row r="10" spans="2:3" ht="15" hidden="1" thickBot="1" x14ac:dyDescent="0.4">
      <c r="B10" s="15"/>
      <c r="C10" s="20" t="s">
        <v>36</v>
      </c>
    </row>
    <row r="11" spans="2:3" ht="15" hidden="1" thickBot="1" x14ac:dyDescent="0.4">
      <c r="B11" s="128"/>
      <c r="C11" s="129"/>
    </row>
    <row r="12" spans="2:3" ht="15" hidden="1" thickBot="1" x14ac:dyDescent="0.4">
      <c r="B12" s="21" t="s">
        <v>37</v>
      </c>
      <c r="C12" s="29" t="s">
        <v>38</v>
      </c>
    </row>
    <row r="13" spans="2:3" hidden="1" x14ac:dyDescent="0.35">
      <c r="B13" s="22" t="s">
        <v>26</v>
      </c>
      <c r="C13" s="23" t="s">
        <v>39</v>
      </c>
    </row>
    <row r="14" spans="2:3" hidden="1" x14ac:dyDescent="0.35">
      <c r="B14" s="24" t="s">
        <v>40</v>
      </c>
      <c r="C14" s="25" t="s">
        <v>41</v>
      </c>
    </row>
    <row r="15" spans="2:3" hidden="1" x14ac:dyDescent="0.35">
      <c r="B15" s="24" t="s">
        <v>42</v>
      </c>
      <c r="C15" s="26"/>
    </row>
    <row r="16" spans="2:3" hidden="1" x14ac:dyDescent="0.35">
      <c r="B16" s="24" t="s">
        <v>43</v>
      </c>
      <c r="C16" s="26"/>
    </row>
    <row r="17" spans="2:4" ht="15" hidden="1" thickBot="1" x14ac:dyDescent="0.4">
      <c r="B17" s="27" t="s">
        <v>44</v>
      </c>
      <c r="C17" s="28"/>
    </row>
    <row r="18" spans="2:4" ht="15" hidden="1" thickBot="1" x14ac:dyDescent="0.4">
      <c r="B18" s="126"/>
      <c r="C18" s="127"/>
    </row>
    <row r="19" spans="2:4" ht="15" hidden="1" thickBot="1" x14ac:dyDescent="0.4">
      <c r="B19" s="30" t="s">
        <v>45</v>
      </c>
      <c r="C19" s="31" t="s">
        <v>18</v>
      </c>
    </row>
    <row r="20" spans="2:4" hidden="1" x14ac:dyDescent="0.35">
      <c r="B20" s="32" t="s">
        <v>46</v>
      </c>
      <c r="C20" s="33" t="s">
        <v>47</v>
      </c>
    </row>
    <row r="21" spans="2:4" hidden="1" x14ac:dyDescent="0.35">
      <c r="B21" s="34" t="s">
        <v>48</v>
      </c>
      <c r="C21" s="35" t="s">
        <v>49</v>
      </c>
    </row>
    <row r="22" spans="2:4" hidden="1" x14ac:dyDescent="0.35">
      <c r="B22" s="36" t="s">
        <v>50</v>
      </c>
      <c r="C22" s="35" t="s">
        <v>51</v>
      </c>
    </row>
    <row r="23" spans="2:4" hidden="1" x14ac:dyDescent="0.35">
      <c r="B23" s="36" t="s">
        <v>52</v>
      </c>
      <c r="C23" s="35" t="s">
        <v>53</v>
      </c>
    </row>
    <row r="24" spans="2:4" hidden="1" x14ac:dyDescent="0.35">
      <c r="B24" s="36" t="s">
        <v>54</v>
      </c>
      <c r="C24" s="35" t="s">
        <v>55</v>
      </c>
    </row>
    <row r="25" spans="2:4" hidden="1" x14ac:dyDescent="0.35">
      <c r="B25" s="36" t="s">
        <v>56</v>
      </c>
      <c r="C25" s="35" t="s">
        <v>57</v>
      </c>
    </row>
    <row r="26" spans="2:4" hidden="1" x14ac:dyDescent="0.35">
      <c r="B26" s="36" t="s">
        <v>58</v>
      </c>
      <c r="C26" s="35" t="s">
        <v>59</v>
      </c>
    </row>
    <row r="27" spans="2:4" hidden="1" x14ac:dyDescent="0.35">
      <c r="B27" s="36" t="s">
        <v>60</v>
      </c>
      <c r="C27" s="35" t="s">
        <v>61</v>
      </c>
    </row>
    <row r="28" spans="2:4" hidden="1" x14ac:dyDescent="0.35">
      <c r="B28" s="36" t="s">
        <v>62</v>
      </c>
      <c r="C28" s="35" t="s">
        <v>63</v>
      </c>
      <c r="D28" t="s">
        <v>64</v>
      </c>
    </row>
    <row r="29" spans="2:4" ht="15" hidden="1" thickBot="1" x14ac:dyDescent="0.4">
      <c r="B29" s="36" t="s">
        <v>65</v>
      </c>
      <c r="C29" s="37" t="s">
        <v>66</v>
      </c>
    </row>
    <row r="30" spans="2:4" ht="15" hidden="1" thickBot="1" x14ac:dyDescent="0.4">
      <c r="B30" s="36" t="s">
        <v>67</v>
      </c>
      <c r="C30" s="40" t="s">
        <v>20</v>
      </c>
    </row>
    <row r="31" spans="2:4" hidden="1" x14ac:dyDescent="0.35">
      <c r="B31" s="36" t="s">
        <v>68</v>
      </c>
      <c r="C31" s="33" t="s">
        <v>47</v>
      </c>
    </row>
    <row r="32" spans="2:4" hidden="1" x14ac:dyDescent="0.35">
      <c r="B32" s="36" t="s">
        <v>69</v>
      </c>
      <c r="C32" s="35" t="s">
        <v>49</v>
      </c>
    </row>
    <row r="33" spans="2:3" hidden="1" x14ac:dyDescent="0.35">
      <c r="B33" s="36" t="s">
        <v>70</v>
      </c>
      <c r="C33" s="35" t="s">
        <v>51</v>
      </c>
    </row>
    <row r="34" spans="2:3" hidden="1" x14ac:dyDescent="0.35">
      <c r="B34" s="36" t="s">
        <v>71</v>
      </c>
      <c r="C34" s="35" t="s">
        <v>72</v>
      </c>
    </row>
    <row r="35" spans="2:3" hidden="1" x14ac:dyDescent="0.35">
      <c r="B35" s="36" t="s">
        <v>73</v>
      </c>
      <c r="C35" s="35" t="s">
        <v>74</v>
      </c>
    </row>
    <row r="36" spans="2:3" hidden="1" x14ac:dyDescent="0.35">
      <c r="B36" s="36" t="s">
        <v>75</v>
      </c>
      <c r="C36" s="35" t="s">
        <v>76</v>
      </c>
    </row>
    <row r="37" spans="2:3" hidden="1" x14ac:dyDescent="0.35">
      <c r="B37" s="36" t="s">
        <v>77</v>
      </c>
      <c r="C37" s="35" t="s">
        <v>78</v>
      </c>
    </row>
    <row r="38" spans="2:3" hidden="1" x14ac:dyDescent="0.35">
      <c r="B38" s="38"/>
      <c r="C38" s="35" t="s">
        <v>79</v>
      </c>
    </row>
    <row r="39" spans="2:3" hidden="1" x14ac:dyDescent="0.35">
      <c r="B39" s="38"/>
      <c r="C39" s="35" t="s">
        <v>80</v>
      </c>
    </row>
    <row r="40" spans="2:3" hidden="1" x14ac:dyDescent="0.35">
      <c r="B40" s="38"/>
      <c r="C40" s="35" t="s">
        <v>81</v>
      </c>
    </row>
    <row r="41" spans="2:3" ht="15" hidden="1" thickBot="1" x14ac:dyDescent="0.4">
      <c r="B41" s="39"/>
      <c r="C41" s="37" t="s">
        <v>82</v>
      </c>
    </row>
    <row r="42" spans="2:3" hidden="1" x14ac:dyDescent="0.35"/>
  </sheetData>
  <sheetProtection algorithmName="SHA-512" hashValue="FHnfQkaxonNPHiJWOwiR1kX6DcAtLSbbIReYV4NSGvjP7Tt3TCmq/PYqPqNWc+pvjy+NyGiexOMPjx9fD+CPqg==" saltValue="W8Kd6UZfBUuHv3wS3lFUGQ==" spinCount="100000" sheet="1" objects="1" scenarios="1"/>
  <mergeCells count="2">
    <mergeCell ref="B18:C18"/>
    <mergeCell ref="B11:C11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4CDF6AA8EFE4EB36FC290EB5CAE73" ma:contentTypeVersion="4" ma:contentTypeDescription="Create a new document." ma:contentTypeScope="" ma:versionID="20df0b0ab9dba1576e3613adc44ca97c">
  <xsd:schema xmlns:xsd="http://www.w3.org/2001/XMLSchema" xmlns:xs="http://www.w3.org/2001/XMLSchema" xmlns:p="http://schemas.microsoft.com/office/2006/metadata/properties" xmlns:ns2="50f42a7c-ed40-4cb0-835b-2d582b151e18" targetNamespace="http://schemas.microsoft.com/office/2006/metadata/properties" ma:root="true" ma:fieldsID="ef402835d355a43e509435fdde3d6d3d" ns2:_="">
    <xsd:import namespace="50f42a7c-ed40-4cb0-835b-2d582b151e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42a7c-ed40-4cb0-835b-2d582b151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E48878-B957-47AE-8AB0-E7E762F1F1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03EBD2-5C4A-4A0D-BDBD-8CD11D0821BB}"/>
</file>

<file path=customXml/itemProps3.xml><?xml version="1.0" encoding="utf-8"?>
<ds:datastoreItem xmlns:ds="http://schemas.openxmlformats.org/officeDocument/2006/customXml" ds:itemID="{831D74BD-CB2E-4189-B1BB-4162F2B3C355}">
  <ds:schemaRefs>
    <ds:schemaRef ds:uri="http://schemas.microsoft.com/office/2006/metadata/properties"/>
    <ds:schemaRef ds:uri="50f42a7c-ed40-4cb0-835b-2d582b151e1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UDLA5H111</vt:lpstr>
      <vt:lpstr>RP-RI</vt:lpstr>
      <vt:lpstr>Assessment</vt:lpstr>
      <vt:lpstr>Formativa</vt:lpstr>
      <vt:lpstr>SELE</vt:lpstr>
      <vt:lpstr>TIPO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Medrano Goyes</dc:creator>
  <cp:keywords/>
  <dc:description/>
  <cp:lastModifiedBy>Lisette Edelma Guzmán</cp:lastModifiedBy>
  <cp:revision/>
  <dcterms:created xsi:type="dcterms:W3CDTF">2022-04-29T17:28:17Z</dcterms:created>
  <dcterms:modified xsi:type="dcterms:W3CDTF">2025-10-20T20:36:41Z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0x0101005014CDF6AA8EFE4EB36FC290EB5CAE73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