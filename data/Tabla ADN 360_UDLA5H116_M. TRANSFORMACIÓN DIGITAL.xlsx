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laec.sharepoint.com/sites/PEA-DireccinEducacinenLnea/Shared Documents/General/Facultad de Ingeniería y Ciencias Aplicadas/Maestría Híbrida en Transformación Digital/Tabla ADN/"/>
    </mc:Choice>
  </mc:AlternateContent>
  <xr:revisionPtr revIDLastSave="684" documentId="13_ncr:1_{3CF3F07C-DB60-44FC-852F-D522ED7660DA}" xr6:coauthVersionLast="47" xr6:coauthVersionMax="47" xr10:uidLastSave="{A10144F4-4791-45CC-957E-6EDCC8DB50BF}"/>
  <bookViews>
    <workbookView xWindow="-110" yWindow="-110" windowWidth="19420" windowHeight="10300" firstSheet="1" activeTab="1" xr2:uid="{4BE58EC7-EF95-48AE-9837-257DEE54B2E3}"/>
  </bookViews>
  <sheets>
    <sheet name="Listas Desplegables" sheetId="12" state="hidden" r:id="rId1"/>
    <sheet name="UDLA5H116" sheetId="4" r:id="rId2"/>
    <sheet name="Hoja3" sheetId="11" state="hidden" r:id="rId3"/>
    <sheet name="RC-RI" sheetId="7" state="hidden" r:id="rId4"/>
  </sheets>
  <externalReferences>
    <externalReference r:id="rId5"/>
    <externalReference r:id="rId6"/>
  </externalReferences>
  <definedNames>
    <definedName name="_xlnm._FilterDatabase" localSheetId="3" hidden="1">'RC-RI'!$C$22:$E$22</definedName>
    <definedName name="_xlnm._FilterDatabase" localSheetId="1" hidden="1">UDLA5H116!$R$8:$S$57</definedName>
    <definedName name="Assessment" comment="asignaturas Assessment">'RC-RI'!$E$23:$E$36</definedName>
    <definedName name="Formativa" comment="asignaturas formativas">'RC-RI'!$D$23:$D$25</definedName>
    <definedName name="SELE" comment="lista de selección" localSheetId="2">#REF!</definedName>
    <definedName name="SELE" comment="lista de selección" localSheetId="0">'Listas Desplegables'!#REF!</definedName>
    <definedName name="SELE" comment="lista de selección">UDLA5H116!$AH$9:$AH$100</definedName>
    <definedName name="TIPO" comment="tipo de asignatura" localSheetId="2">'[1]RC-RI'!$C$23:$C$24</definedName>
    <definedName name="TIPO" comment="tipo de asignatura" localSheetId="0">'[2]RC-RI'!$C$23:$C$24</definedName>
    <definedName name="TIPO" comment="tipo de asignatura">'RC-RI'!$C$23:$C$24</definedName>
    <definedName name="tipo2">#REF!</definedName>
    <definedName name="tipo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4" i="4" l="1"/>
  <c r="P54" i="4" s="1"/>
  <c r="Y54" i="4"/>
  <c r="AF54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5" i="4"/>
  <c r="Y56" i="4"/>
  <c r="Y57" i="4"/>
  <c r="Y9" i="4"/>
  <c r="AF24" i="4" l="1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40" i="4"/>
  <c r="AF41" i="4"/>
  <c r="AF42" i="4"/>
  <c r="AF43" i="4"/>
  <c r="AF44" i="4"/>
  <c r="AF45" i="4"/>
  <c r="AF46" i="4"/>
  <c r="AF47" i="4"/>
  <c r="AF48" i="4"/>
  <c r="AF51" i="4"/>
  <c r="AF52" i="4"/>
  <c r="AF53" i="4"/>
  <c r="AF55" i="4"/>
  <c r="AF56" i="4"/>
  <c r="AF57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9" i="4"/>
  <c r="O39" i="4" l="1"/>
  <c r="P39" i="4" s="1"/>
  <c r="O44" i="4"/>
  <c r="P44" i="4" s="1"/>
  <c r="O49" i="4"/>
  <c r="P49" i="4" s="1"/>
  <c r="O19" i="4"/>
  <c r="P19" i="4" s="1"/>
  <c r="O24" i="4"/>
  <c r="P24" i="4" s="1"/>
  <c r="O29" i="4"/>
  <c r="P29" i="4" s="1"/>
  <c r="O34" i="4"/>
  <c r="P34" i="4" s="1"/>
  <c r="O14" i="4"/>
  <c r="P14" i="4" s="1"/>
  <c r="O9" i="4"/>
  <c r="P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tc={933FCCEE-298D-4EB7-99E1-2155FA043AE4}</author>
  </authors>
  <commentList>
    <comment ref="AB4" authorId="0" shapeId="0" xr:uid="{933FCCEE-298D-4EB7-99E1-2155FA043A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HE: Heteroevaluación
CE: Coevaluación
AE: Autoevaluación
</t>
      </text>
    </comment>
  </commentList>
</comments>
</file>

<file path=xl/sharedStrings.xml><?xml version="1.0" encoding="utf-8"?>
<sst xmlns="http://schemas.openxmlformats.org/spreadsheetml/2006/main" count="456" uniqueCount="218">
  <si>
    <t>N.</t>
  </si>
  <si>
    <t>SEMESTRE</t>
  </si>
  <si>
    <t>NIVEL</t>
  </si>
  <si>
    <t>SIGLA</t>
  </si>
  <si>
    <t>ASIGNATURA</t>
  </si>
  <si>
    <t>MODALIDAD</t>
  </si>
  <si>
    <t>RELACIÓN</t>
  </si>
  <si>
    <t>CRÉDITOS</t>
  </si>
  <si>
    <t xml:space="preserve">AUTÓNOMO
(Presesión) </t>
  </si>
  <si>
    <t>APRENDIZAJE PRÁCTICO/EXPERIMENTAL  (HORAS)</t>
  </si>
  <si>
    <t>APRENDIZAJE CONTACTO CON EL DOCENTE (HORAS)
(Postsesión)</t>
  </si>
  <si>
    <t>TOTAL</t>
  </si>
  <si>
    <t>CLASE</t>
  </si>
  <si>
    <t>RDA</t>
  </si>
  <si>
    <t>RP</t>
  </si>
  <si>
    <t>MDE RP</t>
  </si>
  <si>
    <t>IDE RP</t>
  </si>
  <si>
    <t>RI</t>
  </si>
  <si>
    <t>PMEA RI</t>
  </si>
  <si>
    <t>MDE RI</t>
  </si>
  <si>
    <t>IDE RI</t>
  </si>
  <si>
    <t>PRESENCIAL</t>
  </si>
  <si>
    <t>VIRTUAL</t>
  </si>
  <si>
    <t>I</t>
  </si>
  <si>
    <t>En Línea</t>
  </si>
  <si>
    <t xml:space="preserve">1 a 2 </t>
  </si>
  <si>
    <t>PROPIA</t>
  </si>
  <si>
    <t>M</t>
  </si>
  <si>
    <t>F</t>
  </si>
  <si>
    <t>RI1 PENSAMIENTO CRÍTICO</t>
  </si>
  <si>
    <t>RI2 INNOVACIÓN Y CREATIVIDAD</t>
  </si>
  <si>
    <t>RI3 TRABAJO COLABORATIVO</t>
  </si>
  <si>
    <t>RI4 CIUDADANÍA Y VISIÓN GLOBAL</t>
  </si>
  <si>
    <t>RI5 COMUNICACIÓN EN ESPAÑOL</t>
  </si>
  <si>
    <t>RI6 COMUNICACIÓN EN INGLÉS</t>
  </si>
  <si>
    <t>RI7 ALFABETIZACIÓN DIGITAL</t>
  </si>
  <si>
    <t>RI8 RAZONAMIENTO CUANTITATIVO</t>
  </si>
  <si>
    <t>FINAL</t>
  </si>
  <si>
    <t>MDE RC</t>
  </si>
  <si>
    <t>APLICACIÓN</t>
  </si>
  <si>
    <t>RI 1</t>
  </si>
  <si>
    <t>RI 2</t>
  </si>
  <si>
    <t>RI 3</t>
  </si>
  <si>
    <t>RI 4</t>
  </si>
  <si>
    <t>RI 5</t>
  </si>
  <si>
    <t>RI2 PENSAMIENTO CREATIVO</t>
  </si>
  <si>
    <t>RI3 INTERACCIÓN EFECTIVA</t>
  </si>
  <si>
    <t>RI5 COMUNICACIÓN EFECTIVA</t>
  </si>
  <si>
    <t>RF1.1 Evaluación de afirmaciones</t>
  </si>
  <si>
    <t xml:space="preserve">RF1.2 Toma de decisiones </t>
  </si>
  <si>
    <t xml:space="preserve">RF2.1 Ideación para la resolución de problemas </t>
  </si>
  <si>
    <t xml:space="preserve">RF3.1 Colaboración </t>
  </si>
  <si>
    <t xml:space="preserve">RF3.2 Estrategia de comportamientos </t>
  </si>
  <si>
    <t xml:space="preserve">RF4.1 Pensamiento sistémico </t>
  </si>
  <si>
    <t xml:space="preserve">RF4.2 Principios personales </t>
  </si>
  <si>
    <t xml:space="preserve">RF5.1 Análisis de comunicación </t>
  </si>
  <si>
    <t xml:space="preserve">RF5.2 Estrategia de comunicación </t>
  </si>
  <si>
    <t>RDA1.1.1 #basadoenevidencia</t>
  </si>
  <si>
    <t>RDA1.2.1 #propósito</t>
  </si>
  <si>
    <t>RDA2.1.1 #analogías</t>
  </si>
  <si>
    <t>RDA3.1.1 #liderazgo</t>
  </si>
  <si>
    <t>RDA3.2.1 #explicaciónpsicológica</t>
  </si>
  <si>
    <t>RDA4.1.1 #análisisdesistemas</t>
  </si>
  <si>
    <t>RDA4.2.1 #responsabilidad</t>
  </si>
  <si>
    <t>RDA5.1.1 #lenteinterpretativo</t>
  </si>
  <si>
    <t>RDA5.2.1 #audiencia</t>
  </si>
  <si>
    <t>RDA1.1.2 #sesgos</t>
  </si>
  <si>
    <t>RDA1.2.2 #utilidad</t>
  </si>
  <si>
    <t>RDA2.1.2 #heurísticas</t>
  </si>
  <si>
    <t>RDA3.1.2 #trabajoenequipo</t>
  </si>
  <si>
    <t>RDA3.2.2 #explicacióndelcomportamiento</t>
  </si>
  <si>
    <t>RDA4.1.2 #propiedadesemergentes</t>
  </si>
  <si>
    <t>RDA4.2.2 #profesionalismo</t>
  </si>
  <si>
    <t>RDA5.1.2 #calidaddelasfuentes</t>
  </si>
  <si>
    <t>RDA5.2.2 #organización</t>
  </si>
  <si>
    <t>RDA1.1.3 #lógica</t>
  </si>
  <si>
    <t>RDA2.1.3 #navegacióndeproyectos</t>
  </si>
  <si>
    <t>RDA3.1.3 #conformidad</t>
  </si>
  <si>
    <t>RDA3.2.3 #inteligenciaemocional</t>
  </si>
  <si>
    <t>RDA4.1.3 #conflictoséticos</t>
  </si>
  <si>
    <t>RDA4.2.3 #autoconciencia</t>
  </si>
  <si>
    <t>RDA5.1.3 #crítica</t>
  </si>
  <si>
    <t>RDA5.2.3 #tesis</t>
  </si>
  <si>
    <t>RDA1.1.4 #estimación</t>
  </si>
  <si>
    <t>RDA3.2.4 #cienciadelaprendizaje</t>
  </si>
  <si>
    <t>RDA4.1.4 #marcoético</t>
  </si>
  <si>
    <t>RDA5.1.4 #connotación</t>
  </si>
  <si>
    <t>RDA5.2.4 #persuasión</t>
  </si>
  <si>
    <t>RDA5.2.5 #composición</t>
  </si>
  <si>
    <t>Formativa</t>
  </si>
  <si>
    <t>Rúbrica</t>
  </si>
  <si>
    <t>Check List</t>
  </si>
  <si>
    <t>Assessment</t>
  </si>
  <si>
    <t>Numérico (Aplica solo para cuestionarios)</t>
  </si>
  <si>
    <t>RI1_PMEA</t>
  </si>
  <si>
    <t>RI2_PMEA</t>
  </si>
  <si>
    <t>RI3_PMEA</t>
  </si>
  <si>
    <t>RI4_PMEA</t>
  </si>
  <si>
    <t>RI5_PMEA</t>
  </si>
  <si>
    <t>RI6_PMEA</t>
  </si>
  <si>
    <t>RI7_PMEA</t>
  </si>
  <si>
    <t>RI8_PMEA</t>
  </si>
  <si>
    <t>COMPARTIDA</t>
  </si>
  <si>
    <t>RC1_PMEA</t>
  </si>
  <si>
    <t>COMPARTIDA PROPIA</t>
  </si>
  <si>
    <t>RC2_PMEA</t>
  </si>
  <si>
    <t>ELECTIVA PROPIA</t>
  </si>
  <si>
    <t>RC3_PMEA</t>
  </si>
  <si>
    <t>ELECTIVA COMPARTIDA</t>
  </si>
  <si>
    <t>RC4_PMEA</t>
  </si>
  <si>
    <t>RC5_PMEA</t>
  </si>
  <si>
    <t>RC6_PMEA</t>
  </si>
  <si>
    <t>Foro</t>
  </si>
  <si>
    <t>TIPO</t>
  </si>
  <si>
    <t>Debate</t>
  </si>
  <si>
    <t xml:space="preserve">Formativa </t>
  </si>
  <si>
    <t>Cuestionario de opción múltiple</t>
  </si>
  <si>
    <t>Examen de preguntas abiertas</t>
  </si>
  <si>
    <t>Análisis de caso</t>
  </si>
  <si>
    <t>Portafolio</t>
  </si>
  <si>
    <t>Infografía</t>
  </si>
  <si>
    <t>Proyecto Integrador</t>
  </si>
  <si>
    <t>Cuadro comparativo</t>
  </si>
  <si>
    <t>Role play</t>
  </si>
  <si>
    <t>Ejercicio práctico</t>
  </si>
  <si>
    <t>RP1_PMEA</t>
  </si>
  <si>
    <t>Simulación</t>
  </si>
  <si>
    <t>RP2_PMEA</t>
  </si>
  <si>
    <t>Maqueta</t>
  </si>
  <si>
    <t>RP3_PMEA</t>
  </si>
  <si>
    <t>Afiche, render u otro producto multimedia</t>
  </si>
  <si>
    <t>RP4_PMEA</t>
  </si>
  <si>
    <t>Grabación musical</t>
  </si>
  <si>
    <t>Video</t>
  </si>
  <si>
    <t>Presentación oral</t>
  </si>
  <si>
    <t>RC7_PMEA</t>
  </si>
  <si>
    <t>Otros</t>
  </si>
  <si>
    <t>RP5_PMEA</t>
  </si>
  <si>
    <t>RP6_PMEA</t>
  </si>
  <si>
    <t xml:space="preserve">SEGURIDAD INFORMÁTICA </t>
  </si>
  <si>
    <t>PROYECTO DE TITULACIÓN</t>
  </si>
  <si>
    <t>ESTRATEGIA DE TRANSFORMACIÓN DIGITAL</t>
  </si>
  <si>
    <t>CULTURA ÁGIL Y GESTIÓN DEL CAMBIO</t>
  </si>
  <si>
    <t>DATA-DRIVEN Y DECISION MAKING</t>
  </si>
  <si>
    <t>ARQUITECTURA DE SOLUCIONES DIGITALES</t>
  </si>
  <si>
    <t>ESTRATEGIA DE NEGOCIOS EN INTELIGENCIA ARTIFICIAL</t>
  </si>
  <si>
    <t>TECNOLOGÍAS EMERGENTES Y DISRUPTIVAS</t>
  </si>
  <si>
    <t>NEGOCIOS ELECTRÓNICOS Y MARKETING DIGITAL</t>
  </si>
  <si>
    <t>EXPERIENCIA DEL CLIENTE Y NEGOCIOS DIGITALES</t>
  </si>
  <si>
    <t>ALINEACIÓN RP</t>
  </si>
  <si>
    <t>MEDICIÓN RP</t>
  </si>
  <si>
    <t>INFORME</t>
  </si>
  <si>
    <t>MEDICIÓN</t>
  </si>
  <si>
    <t>ENFOQUE EVALUACIÓN</t>
  </si>
  <si>
    <t>MDE ENFOQUE</t>
  </si>
  <si>
    <t>IDE ENFOQUE</t>
  </si>
  <si>
    <t>EVA 360°</t>
  </si>
  <si>
    <t>Ver Nomenclatura</t>
  </si>
  <si>
    <t>MDE Enfoque</t>
  </si>
  <si>
    <t>Informe</t>
  </si>
  <si>
    <t>Diario</t>
  </si>
  <si>
    <t>Bitácora</t>
  </si>
  <si>
    <t>Reflexión multimedia</t>
  </si>
  <si>
    <t>UDLA5H116-RP1 Analiza los desafíos culturales, organizacionales y tecnológicos de una organización  para proponer soluciones de transformación digital centradas en el cliente, la innovación y el uso estratégico de datos</t>
  </si>
  <si>
    <t>UDLA5H116-RP2 Diseña estrategias digitales a partir de la gestión y análisis de datos para mejorar la experiencia del cliente interno y externo , integrando estándares globales de calidad e innovación</t>
  </si>
  <si>
    <t>UDLA5H116-RP3 Lidera equipos multidisciplinarios mediante el uso de herramientas y metodologías ágiles para optimizar el uso eficiente de recursos y maximizar los resultados estratégicos en entornos dinámicos</t>
  </si>
  <si>
    <t>UDLA5H116-RP4 Integra tecnologías emergentes alineadas a la estrategia organizacional para mejorar la eficiencia, escalabilidad y sostenibilidad del modelo de negocio</t>
  </si>
  <si>
    <t>MTDL0001</t>
  </si>
  <si>
    <t>MTDL0002</t>
  </si>
  <si>
    <t>MTDL0003</t>
  </si>
  <si>
    <t>MTDL0004</t>
  </si>
  <si>
    <t>MTDL0005</t>
  </si>
  <si>
    <t>MTDL0006</t>
  </si>
  <si>
    <t>MTDL0007</t>
  </si>
  <si>
    <t>MCBS0001</t>
  </si>
  <si>
    <t xml:space="preserve">	
MKTA0006</t>
  </si>
  <si>
    <t>TTMZ1161</t>
  </si>
  <si>
    <t>MTDL0001-RDA3 Diseña estrategias para la transformación digital alineadas con la cultura organizacional, el modelo de negocio y los objetivos estratégicos</t>
  </si>
  <si>
    <t>MTDL0002-RDA2 Evalúa la aplicación de metodologías ágiles en procesos de transformación digital, considerando su pertinencia en contextos organizacionales dinámicos</t>
  </si>
  <si>
    <t>MTDL0002-RDA3 Implementa principios fundamentales y herramientas tecnológicas de metodologías ágiles para gestionar proyectos organizacionales, integrando soluciones de inteligencia artificial que optimicen la colaboración, la planificación y el seguimiento de resultados</t>
  </si>
  <si>
    <t>MTDL0003-RDA1 Analiza estándares internacionales y políticas organizacionales de gestión de datos en el diseño de estrategias de transformación digital alineadas a los objetivos estratégicos</t>
  </si>
  <si>
    <t>MTDL0003-RDA2 Utiliza herramientas de visualización interactiva y de Business Intelligence para contribuir en la toma de decisiones mediante reportes de datos en tiempo real, integrando técnicas de análisis predictivo basadas en inteligencia artificial</t>
  </si>
  <si>
    <t>MTDL0003-RDA3 Evalúa conjuntos de datos mediante técnicas de analítica avanzada para identificar patrones relevantes en relación con la experiencia del cliente interno y externo, empleando algoritmos de inteligencia artificial para aumentar la precisión en la detección de tendencias y comportamientos</t>
  </si>
  <si>
    <t>MTDL0004-RDA1 Analiza arquitecturas basadas en APIs y microservicios para determinar su aplicabilidad en procesos organizacionales, integrando principios de seguridad y eficiencia operativa en entornos cloud, con el apoyo de inteligencia artificial para la automatización y optimización de flujos entre servicios</t>
  </si>
  <si>
    <t>MTDL0004-RDA2 Evalúa estrategias DevOps para implementar soluciones digitales que aseguren calidad, escalabilidad y adaptabilidad en contextos organizacionales dinámicos</t>
  </si>
  <si>
    <t>MTDL0004-RDA3 Diseña soluciones digitales eficientes mediante el uso de servicios en la nube y la aplicación de principios de arquitectura tecnológica para optimizar procesos organizacionales, considerando criterios de sostenibilidad económica en la reducción de costos operativos y el uso eficiente de recursos</t>
  </si>
  <si>
    <t>MTDL0006-RDA1 Analiza el impacto de tecnologías emergentes y disruptivas en la transformación organizacional, considerando su aplicación en ecosistemas digitales innovadores y sostenibles, con énfasis en su contribución a la sostenibilidad ambiental y social dentro de los modelos de negocio</t>
  </si>
  <si>
    <t>MTDL0006-RDA2 Selecciona herramientas tecnológicas disruptivas con base en criterios técnicos y objetivos empresariales para optimizar procesos organizacionales en entornos de transformación digital avanzada, integrando soluciones de inteligencia artificial</t>
  </si>
  <si>
    <t>MTDL0006-RDA3 Diseña estrategias tecnológicas que integren habilitadores digitales para fortalecer la trazabilidad, automatización y monitoreo inteligente en organizaciones adaptativas</t>
  </si>
  <si>
    <t>MKTA0006-RDA1 Analiza el entorno de la organización para identificar canales de venta efectivos en entornos digitales</t>
  </si>
  <si>
    <t>MKTA0006-RDA2 Evalúa las alternativas de canales digitales utilizados para determinar su impacto económico y social en los modelos de negocio electrónicos</t>
  </si>
  <si>
    <t>MKTA0006-RDA3 Diseña soluciones de comercio electrónico con base en indicadores de desempeño y en el análisis del entorno de la organización</t>
  </si>
  <si>
    <t>MTDL0007-RDA1 Analiza principios de diseño de servicios y métricas de experiencia del cliente para identificar oportunidades de mejora en entornos digitales centrados en el usuario, contemplando la sostenibilidad social mediante la inclusión, accesibilidad y equidad en la experiencia del cliente</t>
  </si>
  <si>
    <t>MTDL0007-RDA2 Diseña estrategias de automatización de servicios empleando herramientas de UX/CX, asistentes virtuales y plataformas digitales para optimizar la experiencia omnicanal</t>
  </si>
  <si>
    <t>MTDL0007-RDA3 Evalúa modelos de fidelización y su impacto en la experiencia del cliente, integrando enfoques interdisciplinarios con inteligencia artificial aplicados a negocios digitales para analizar patrones de comportamiento y predecir niveles de lealtad</t>
  </si>
  <si>
    <t>RÚBRICA</t>
  </si>
  <si>
    <t>Assessment RP</t>
  </si>
  <si>
    <t>EVA_MTDL_RP1</t>
  </si>
  <si>
    <t>EVA_MTDL_RP2</t>
  </si>
  <si>
    <t>EVA_MTDL_RP3</t>
  </si>
  <si>
    <t>EVA_MTDL_RP4</t>
  </si>
  <si>
    <t>TTMZ1161-RDA1 Analiza información operativa y estratégica para identificar desafíos clave vinculados a la transformación digital organizacional</t>
  </si>
  <si>
    <t>TTMZ1161-RDA2 Propone soluciones digitales integradas basadas en principios de transformación digital, considerando el entorno y las prioridades estratégicas de la organización</t>
  </si>
  <si>
    <t>TTMZ1161-RDA3 Diseña un roadmap estructurado de transformación digital alineado con los objetivos y la visión estratégica de una organización, integrando modelos de inteligencia artificial que respalden la toma de decisiones estratégicas y la optimización de recursos</t>
  </si>
  <si>
    <t>MTDL0005-RDA1 Propone estrategias de negocio apoyadas en inteligencia artificial para mejorar la competitividad y la toma de decisiones organizacionales</t>
  </si>
  <si>
    <t>MTDL0005-RDA3 Analiza los beneficios, riesgos y limitaciones del uso de inteligencia artificial en el diseño e implementación de estrategias de negocio</t>
  </si>
  <si>
    <t>MTDL0005-RDA2 Explica las aplicaciones de la inteligencia artificial en procesos estratégicos, tácticos y operativos, considerando su impacto en la eficiencia, la innovación y la sostenibilidad organizacional</t>
  </si>
  <si>
    <t>Presencial</t>
  </si>
  <si>
    <t>GUÍA DE OBSERVACIÓN</t>
  </si>
  <si>
    <t>TTMZ1161-RDA4 Evalúa el impacto potencial del roadmap propuesto mediante indicadores de desempeño, calidad y mejora continua, apoyándose en inteligencia artificial para proyectar escenarios y medir resultados estratégicos</t>
  </si>
  <si>
    <t>CE-AE</t>
  </si>
  <si>
    <t>HE</t>
  </si>
  <si>
    <t>MTDL0001-RDA1 Identifica desafíos culturales, organizacionales y tecnológicos propios de la transformación digital en entornos cambiantes, complejos y dinámicos, considerando su impacto en la sostenibilidad social y en la adaptación de las personas a los nuevos entornos digitales</t>
  </si>
  <si>
    <t>MTDL0001-RDA2 Evalúa modelos de madurez digital y el uso de herramientas ágiles en contextos organizacionales para diagnosticar capacidades y oportunidades de transformación, integrando el análisis con inteligencia artificial para mejorar la precisión y profundidad de los diagnósticos</t>
  </si>
  <si>
    <t>MTDL0002-RDA1 Analiza los desafíos culturales y organizacionales relacionados con la adopción de metodologías ágiles, contemplando su impacto en la sostenibilidad social y en la gestión del cambio en las personas</t>
  </si>
  <si>
    <t>MCBS0001-RDA1 Identifica las amenazas y vulnerabilidades más importantes en materia de ciberseguridad</t>
  </si>
  <si>
    <t>MCBS0001-RDA2 Analiza los métodos fundamentales para eliminar o reducir los riesgos asociados a los ciberataques</t>
  </si>
  <si>
    <t>MCBS0001-RDA3 Aplica procedimientos y técnica para responder de manera eficiente ante incidentes de seguridad cibernética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</si>
</sst>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color theme="8" tint="-0.249977111117893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0"/>
      <name val="Calibri Bold"/>
    </font>
    <font>
      <b/>
      <u/>
      <sz val="9"/>
      <color theme="6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D0D"/>
        <bgColor indexed="64"/>
      </patternFill>
    </fill>
    <fill>
      <patternFill patternType="solid">
        <fgColor rgb="FFFFA67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45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2" fillId="0" borderId="0"/>
    <xf numFmtId="0" fontId="8" fillId="0" borderId="0"/>
    <xf numFmtId="0" fontId="10" fillId="0" borderId="0"/>
    <xf numFmtId="0" fontId="11" fillId="13" borderId="18" applyNumberFormat="0" applyAlignment="0" applyProtection="0"/>
    <xf numFmtId="0" fontId="3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8" fillId="0" borderId="0" applyNumberFormat="0" applyFill="0" applyBorder="0" applyAlignment="0" applyProtection="0"/>
  </cellStyleXfs>
  <cellXfs count="203">
    <xf numFmtId="0" fontId="0" fillId="0" borderId="0" xfId="0"/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0" xfId="0" applyAlignment="1">
      <alignment horizontal="justify" vertical="center"/>
    </xf>
    <xf numFmtId="0" fontId="0" fillId="5" borderId="12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0" borderId="1" xfId="0" applyBorder="1"/>
    <xf numFmtId="0" fontId="0" fillId="5" borderId="2" xfId="0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0" fillId="9" borderId="0" xfId="0" applyFill="1"/>
    <xf numFmtId="0" fontId="1" fillId="0" borderId="0" xfId="0" applyFont="1"/>
    <xf numFmtId="0" fontId="0" fillId="0" borderId="0" xfId="0" applyAlignment="1">
      <alignment horizontal="left"/>
    </xf>
    <xf numFmtId="0" fontId="7" fillId="9" borderId="10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wrapText="1"/>
    </xf>
    <xf numFmtId="0" fontId="16" fillId="9" borderId="0" xfId="0" applyFont="1" applyFill="1" applyAlignment="1">
      <alignment vertical="center"/>
    </xf>
    <xf numFmtId="0" fontId="18" fillId="0" borderId="0" xfId="14" applyAlignment="1">
      <alignment wrapText="1"/>
    </xf>
    <xf numFmtId="0" fontId="1" fillId="0" borderId="27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7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0" fillId="9" borderId="1" xfId="0" applyFill="1" applyBorder="1" applyAlignment="1">
      <alignment horizontal="center"/>
    </xf>
    <xf numFmtId="0" fontId="1" fillId="0" borderId="28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1" fillId="0" borderId="16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5" fillId="0" borderId="25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0" fillId="0" borderId="25" xfId="0" applyBorder="1"/>
    <xf numFmtId="0" fontId="1" fillId="0" borderId="0" xfId="0" applyFont="1" applyAlignment="1">
      <alignment vertical="top" wrapText="1"/>
    </xf>
    <xf numFmtId="0" fontId="13" fillId="9" borderId="0" xfId="0" applyFont="1" applyFill="1" applyAlignment="1">
      <alignment horizontal="center" vertical="top" wrapText="1"/>
    </xf>
    <xf numFmtId="0" fontId="1" fillId="0" borderId="1" xfId="1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9" fillId="0" borderId="23" xfId="6" applyFont="1" applyBorder="1" applyAlignment="1">
      <alignment horizontal="left" vertical="top" wrapText="1"/>
    </xf>
    <xf numFmtId="0" fontId="19" fillId="0" borderId="1" xfId="6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20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5" fillId="21" borderId="19" xfId="0" applyFont="1" applyFill="1" applyBorder="1" applyAlignment="1">
      <alignment horizontal="center" vertical="center"/>
    </xf>
    <xf numFmtId="0" fontId="5" fillId="21" borderId="19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0" fontId="5" fillId="22" borderId="33" xfId="0" applyFont="1" applyFill="1" applyBorder="1" applyAlignment="1">
      <alignment horizontal="center" vertical="center" wrapText="1"/>
    </xf>
    <xf numFmtId="0" fontId="20" fillId="23" borderId="30" xfId="0" applyFont="1" applyFill="1" applyBorder="1" applyAlignment="1">
      <alignment horizontal="center" vertical="center" wrapText="1"/>
    </xf>
    <xf numFmtId="0" fontId="5" fillId="23" borderId="23" xfId="0" applyFont="1" applyFill="1" applyBorder="1" applyAlignment="1">
      <alignment horizontal="center" vertical="center" wrapText="1"/>
    </xf>
    <xf numFmtId="0" fontId="1" fillId="23" borderId="30" xfId="0" applyFont="1" applyFill="1" applyBorder="1" applyAlignment="1">
      <alignment horizontal="left" vertical="top" wrapText="1"/>
    </xf>
    <xf numFmtId="0" fontId="1" fillId="23" borderId="25" xfId="0" applyFont="1" applyFill="1" applyBorder="1" applyAlignment="1">
      <alignment horizontal="left" vertical="top" wrapText="1"/>
    </xf>
    <xf numFmtId="0" fontId="1" fillId="23" borderId="31" xfId="0" applyFont="1" applyFill="1" applyBorder="1" applyAlignment="1">
      <alignment horizontal="left" vertical="top" wrapText="1"/>
    </xf>
    <xf numFmtId="0" fontId="15" fillId="23" borderId="25" xfId="0" applyFont="1" applyFill="1" applyBorder="1" applyAlignment="1">
      <alignment horizontal="left" vertical="top" wrapText="1"/>
    </xf>
    <xf numFmtId="0" fontId="1" fillId="23" borderId="0" xfId="0" applyFont="1" applyFill="1" applyAlignment="1">
      <alignment horizontal="left" vertical="top" wrapText="1"/>
    </xf>
    <xf numFmtId="0" fontId="1" fillId="23" borderId="32" xfId="0" applyFont="1" applyFill="1" applyBorder="1" applyAlignment="1">
      <alignment horizontal="left" vertical="top" wrapText="1"/>
    </xf>
    <xf numFmtId="0" fontId="0" fillId="23" borderId="25" xfId="0" applyFill="1" applyBorder="1"/>
    <xf numFmtId="0" fontId="1" fillId="23" borderId="3" xfId="0" applyFont="1" applyFill="1" applyBorder="1" applyAlignment="1">
      <alignment horizontal="left" vertical="top" wrapText="1"/>
    </xf>
    <xf numFmtId="0" fontId="22" fillId="25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2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3" fillId="9" borderId="15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19" fillId="0" borderId="26" xfId="6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5" fillId="23" borderId="34" xfId="0" applyFont="1" applyFill="1" applyBorder="1" applyAlignment="1">
      <alignment horizontal="center" vertical="center" wrapText="1"/>
    </xf>
    <xf numFmtId="0" fontId="1" fillId="23" borderId="22" xfId="0" applyFont="1" applyFill="1" applyBorder="1" applyAlignment="1">
      <alignment horizontal="left" vertical="top" wrapText="1"/>
    </xf>
    <xf numFmtId="0" fontId="5" fillId="22" borderId="3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26" fillId="0" borderId="25" xfId="0" applyFont="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0" fillId="0" borderId="37" xfId="0" applyBorder="1"/>
    <xf numFmtId="0" fontId="1" fillId="0" borderId="22" xfId="0" applyFont="1" applyBorder="1" applyAlignment="1">
      <alignment horizontal="left" vertical="top" wrapText="1"/>
    </xf>
    <xf numFmtId="0" fontId="20" fillId="19" borderId="29" xfId="0" applyFont="1" applyFill="1" applyBorder="1" applyAlignment="1">
      <alignment horizontal="center" vertical="center" wrapText="1"/>
    </xf>
    <xf numFmtId="0" fontId="20" fillId="19" borderId="30" xfId="0" applyFont="1" applyFill="1" applyBorder="1" applyAlignment="1">
      <alignment horizontal="center" vertical="center" wrapText="1"/>
    </xf>
    <xf numFmtId="0" fontId="21" fillId="24" borderId="29" xfId="0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1" fontId="1" fillId="6" borderId="15" xfId="0" applyNumberFormat="1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0" borderId="1" xfId="10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1" fontId="1" fillId="7" borderId="13" xfId="0" applyNumberFormat="1" applyFont="1" applyFill="1" applyBorder="1" applyAlignment="1">
      <alignment horizontal="center" vertical="center"/>
    </xf>
    <xf numFmtId="1" fontId="1" fillId="7" borderId="15" xfId="0" applyNumberFormat="1" applyFont="1" applyFill="1" applyBorder="1" applyAlignment="1">
      <alignment horizontal="center" vertical="center"/>
    </xf>
    <xf numFmtId="1" fontId="1" fillId="6" borderId="13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1" fontId="1" fillId="5" borderId="13" xfId="0" applyNumberFormat="1" applyFont="1" applyFill="1" applyBorder="1" applyAlignment="1">
      <alignment horizontal="center" vertical="center"/>
    </xf>
    <xf numFmtId="1" fontId="1" fillId="3" borderId="13" xfId="0" applyNumberFormat="1" applyFont="1" applyFill="1" applyBorder="1" applyAlignment="1">
      <alignment horizontal="center" vertical="center"/>
    </xf>
    <xf numFmtId="1" fontId="1" fillId="2" borderId="16" xfId="0" applyNumberFormat="1" applyFont="1" applyFill="1" applyBorder="1" applyAlignment="1">
      <alignment horizontal="center" vertical="center"/>
    </xf>
    <xf numFmtId="1" fontId="1" fillId="2" borderId="23" xfId="0" applyNumberFormat="1" applyFont="1" applyFill="1" applyBorder="1" applyAlignment="1">
      <alignment horizontal="center" vertical="center"/>
    </xf>
    <xf numFmtId="1" fontId="1" fillId="2" borderId="20" xfId="0" applyNumberFormat="1" applyFont="1" applyFill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25" fillId="0" borderId="16" xfId="10" applyFont="1" applyBorder="1" applyAlignment="1">
      <alignment horizontal="center" vertical="center" wrapText="1"/>
    </xf>
    <xf numFmtId="0" fontId="25" fillId="0" borderId="23" xfId="10" applyFont="1" applyBorder="1" applyAlignment="1">
      <alignment horizontal="center" vertical="center" wrapText="1"/>
    </xf>
    <xf numFmtId="0" fontId="25" fillId="0" borderId="20" xfId="10" applyFont="1" applyBorder="1" applyAlignment="1">
      <alignment horizontal="center" vertical="center" wrapText="1"/>
    </xf>
    <xf numFmtId="0" fontId="5" fillId="9" borderId="12" xfId="1" applyFont="1" applyFill="1" applyBorder="1" applyAlignment="1">
      <alignment horizontal="center" vertical="center" wrapText="1"/>
    </xf>
    <xf numFmtId="0" fontId="5" fillId="9" borderId="17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25" fillId="0" borderId="3" xfId="1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1" fontId="1" fillId="7" borderId="3" xfId="0" applyNumberFormat="1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</cellXfs>
  <cellStyles count="15">
    <cellStyle name="Celda de comprobación 2" xfId="4" xr:uid="{3A9624D4-9108-4274-AFF5-AA0F6F89F2DE}"/>
    <cellStyle name="Hipervínculo" xfId="14" builtinId="8"/>
    <cellStyle name="Millares 2" xfId="8" xr:uid="{9355157E-A983-4FCB-B304-FA109F6F014D}"/>
    <cellStyle name="Millares 2 2" xfId="12" xr:uid="{375BDA54-57C4-419E-9E52-09E776E54ABF}"/>
    <cellStyle name="Normal" xfId="0" builtinId="0"/>
    <cellStyle name="Normal 2" xfId="1" xr:uid="{369D3522-3960-496C-AEB2-B1D89A53CD34}"/>
    <cellStyle name="Normal 2 2" xfId="5" xr:uid="{25DFF9FA-0159-40F3-B1E8-A7058238A3DC}"/>
    <cellStyle name="Normal 2 3" xfId="9" xr:uid="{782863B1-F035-4D5C-B12B-975B60FB4516}"/>
    <cellStyle name="Normal 2 4" xfId="3" xr:uid="{67F23A7D-E3A2-4273-B183-54E6701C74B3}"/>
    <cellStyle name="Normal 3" xfId="10" xr:uid="{A1D8ECBE-5875-4452-9988-1903297BDE04}"/>
    <cellStyle name="Normal 3 3" xfId="6" xr:uid="{7721E7D6-ED09-4742-9860-27D1011EA60F}"/>
    <cellStyle name="Normal 4" xfId="13" xr:uid="{E723F6BF-D606-4F62-A649-162D5F0537CC}"/>
    <cellStyle name="Normal 5" xfId="2" xr:uid="{8AEF6953-D00B-429A-AF09-770F73EB3195}"/>
    <cellStyle name="Normal 5 2" xfId="11" xr:uid="{7C7D1D33-6D39-4852-922E-17B9B2EC6523}"/>
    <cellStyle name="Normal 5 3" xfId="7" xr:uid="{5296C466-E8E6-47CE-8AF4-C1F8D76004A9}"/>
  </cellStyles>
  <dxfs count="20">
    <dxf>
      <font>
        <color rgb="FF9C0006"/>
      </font>
    </dxf>
    <dxf>
      <font>
        <color rgb="FF9C0006"/>
      </font>
    </dxf>
    <dxf>
      <font>
        <color theme="5" tint="-0.24994659260841701"/>
      </font>
      <fill>
        <patternFill patternType="solid">
          <bgColor theme="0"/>
        </patternFill>
      </fill>
    </dxf>
    <dxf>
      <font>
        <b/>
        <i val="0"/>
        <color theme="8" tint="-0.24994659260841701"/>
      </font>
      <fill>
        <patternFill>
          <bgColor theme="0"/>
        </patternFill>
      </fill>
    </dxf>
    <dxf>
      <font>
        <b/>
        <i val="0"/>
        <strike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4"/>
      </font>
    </dxf>
    <dxf>
      <font>
        <b/>
        <i val="0"/>
        <color theme="5"/>
      </font>
    </dxf>
    <dxf>
      <font>
        <b/>
        <i val="0"/>
        <color theme="4"/>
      </font>
    </dxf>
    <dxf>
      <font>
        <color theme="5" tint="-0.24994659260841701"/>
      </font>
      <fill>
        <patternFill patternType="solid">
          <bgColor theme="0"/>
        </patternFill>
      </fill>
    </dxf>
    <dxf>
      <font>
        <b/>
        <i val="0"/>
        <color theme="8" tint="-0.24994659260841701"/>
      </font>
      <fill>
        <patternFill>
          <bgColor theme="0"/>
        </patternFill>
      </fill>
    </dxf>
    <dxf>
      <font>
        <b/>
        <i val="0"/>
        <strike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5"/>
      </font>
    </dxf>
    <dxf>
      <font>
        <b/>
        <i val="0"/>
        <color theme="9"/>
      </font>
    </dxf>
    <dxf>
      <font>
        <color theme="5" tint="-0.24994659260841701"/>
      </font>
      <fill>
        <patternFill patternType="solid">
          <bgColor theme="0"/>
        </patternFill>
      </fill>
    </dxf>
    <dxf>
      <font>
        <b/>
        <i val="0"/>
        <color theme="8" tint="-0.24994659260841701"/>
      </font>
      <fill>
        <patternFill>
          <bgColor theme="0"/>
        </patternFill>
      </fill>
    </dxf>
    <dxf>
      <font>
        <b/>
        <i val="0"/>
        <strike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5"/>
      </font>
    </dxf>
    <dxf>
      <font>
        <b/>
        <i val="0"/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437029</xdr:colOff>
      <xdr:row>1</xdr:row>
      <xdr:rowOff>123265</xdr:rowOff>
    </xdr:from>
    <xdr:to>
      <xdr:col>6</xdr:col>
      <xdr:colOff>191995</xdr:colOff>
      <xdr:row>2</xdr:row>
      <xdr:rowOff>331388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048B08-C490-4E6F-A71A-DD2BC931E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47" y="313765"/>
          <a:ext cx="2352116" cy="703423"/>
        </a:xfrm>
        <a:prstGeom prst="rect">
          <a:avLst/>
        </a:prstGeom>
      </xdr:spPr>
    </xdr:pic>
    <xdr:clientData/>
  </xdr:twoCellAnchor>
  <xdr:twoCellAnchor editAs="absolute">
    <xdr:from>
      <xdr:col>10</xdr:col>
      <xdr:colOff>270809</xdr:colOff>
      <xdr:row>0</xdr:row>
      <xdr:rowOff>100853</xdr:rowOff>
    </xdr:from>
    <xdr:to>
      <xdr:col>15</xdr:col>
      <xdr:colOff>12806</xdr:colOff>
      <xdr:row>1</xdr:row>
      <xdr:rowOff>452556</xdr:rowOff>
    </xdr:to>
    <xdr:sp macro="" textlink="">
      <xdr:nvSpPr>
        <xdr:cNvPr id="6" name="CuadroTexto 2">
          <a:extLst>
            <a:ext uri="{FF2B5EF4-FFF2-40B4-BE49-F238E27FC236}">
              <a16:creationId xmlns:a16="http://schemas.microsoft.com/office/drawing/2014/main" id="{D02B502A-A83B-461B-9B80-2D6C61490F36}"/>
            </a:ext>
          </a:extLst>
        </xdr:cNvPr>
        <xdr:cNvSpPr txBox="1">
          <a:spLocks noChangeAspect="1"/>
        </xdr:cNvSpPr>
      </xdr:nvSpPr>
      <xdr:spPr>
        <a:xfrm>
          <a:off x="6398559" y="100853"/>
          <a:ext cx="4199697" cy="535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2800" b="1">
              <a:latin typeface="Aptos" panose="020B0004020202020204" pitchFamily="34" charset="0"/>
            </a:rPr>
            <a:t>Planificación ADN</a:t>
          </a:r>
          <a:r>
            <a:rPr lang="es-MX" sz="2800" b="1" baseline="0">
              <a:latin typeface="Aptos" panose="020B0004020202020204" pitchFamily="34" charset="0"/>
            </a:rPr>
            <a:t> UDLA</a:t>
          </a:r>
          <a:endParaRPr lang="es-MX" sz="2800" b="1"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9</xdr:col>
      <xdr:colOff>627157</xdr:colOff>
      <xdr:row>1</xdr:row>
      <xdr:rowOff>488203</xdr:rowOff>
    </xdr:from>
    <xdr:to>
      <xdr:col>16</xdr:col>
      <xdr:colOff>80682</xdr:colOff>
      <xdr:row>2</xdr:row>
      <xdr:rowOff>366980</xdr:rowOff>
    </xdr:to>
    <xdr:sp macro="" textlink="">
      <xdr:nvSpPr>
        <xdr:cNvPr id="8" name="CuadroTexto 3">
          <a:extLst>
            <a:ext uri="{FF2B5EF4-FFF2-40B4-BE49-F238E27FC236}">
              <a16:creationId xmlns:a16="http://schemas.microsoft.com/office/drawing/2014/main" id="{E73A15AB-4AC9-4FC8-BC19-79E9379FDD63}"/>
            </a:ext>
          </a:extLst>
        </xdr:cNvPr>
        <xdr:cNvSpPr txBox="1">
          <a:spLocks noChangeAspect="1"/>
        </xdr:cNvSpPr>
      </xdr:nvSpPr>
      <xdr:spPr>
        <a:xfrm>
          <a:off x="6107207" y="672353"/>
          <a:ext cx="5289175" cy="374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MX" sz="1800" b="0">
              <a:latin typeface="Aptos" panose="020B0004020202020204" pitchFamily="34" charset="0"/>
            </a:rPr>
            <a:t>Programa: </a:t>
          </a:r>
          <a:r>
            <a:rPr lang="es-MX" sz="1800" b="1">
              <a:latin typeface="Aptos" panose="020B0004020202020204" pitchFamily="34" charset="0"/>
            </a:rPr>
            <a:t>Maestría</a:t>
          </a:r>
          <a:r>
            <a:rPr lang="es-MX" sz="1800" b="1" baseline="0">
              <a:latin typeface="Aptos" panose="020B0004020202020204" pitchFamily="34" charset="0"/>
            </a:rPr>
            <a:t> en Transformación Digital</a:t>
          </a:r>
          <a:endParaRPr lang="es-MX" sz="1800" b="1">
            <a:latin typeface="Aptos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dlaec-my.sharepoint.com/personal/santiago_urena_udla_edu_ec/Documents/PEA/UDLA%20para%20la%20vida/ADN%20VIDA_UDLA1PXXX_CARRERA(prueba)%20.xlsx" TargetMode="External"/><Relationship Id="rId1" Type="http://schemas.openxmlformats.org/officeDocument/2006/relationships/externalLinkPath" Target="https://udlaec-my.sharepoint.com/personal/santiago_urena_udla_edu_ec/Documents/PEA/UDLA%20para%20la%20vida/ADN%20VIDA_UDLA1PXXX_CARRERA(prueba)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tianalexand01\Downloads\Plantilla%20Tabla%20ADN%20360_UDLAXXXX_CARRERA.xlsx" TargetMode="External"/><Relationship Id="rId1" Type="http://schemas.openxmlformats.org/officeDocument/2006/relationships/externalLinkPath" Target="file:///C:\Users\christianalexand01\Downloads\Plantilla%20Tabla%20ADN%20360_UDLAXXXX_CARRE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DLA1P014"/>
      <sheetName val="Hoja3"/>
      <sheetName val="MAPEO RI "/>
      <sheetName val="TABLERO DE GESTIÓN"/>
      <sheetName val="REGISTRO DE CAMBIOS "/>
      <sheetName val="RC-RI"/>
    </sheetNames>
    <sheetDataSet>
      <sheetData sheetId="0"/>
      <sheetData sheetId="1">
        <row r="6">
          <cell r="B6" t="str">
            <v>RI1 PENSAMIENTO CRÍTICO</v>
          </cell>
        </row>
      </sheetData>
      <sheetData sheetId="2"/>
      <sheetData sheetId="3"/>
      <sheetData sheetId="4"/>
      <sheetData sheetId="5">
        <row r="23">
          <cell r="C23" t="str">
            <v xml:space="preserve">Formativa </v>
          </cell>
        </row>
        <row r="24">
          <cell r="C24" t="str">
            <v>Assessment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DLA1P614"/>
      <sheetName val="TABLERO DE GESTIÓN"/>
      <sheetName val="REGISTRO DE CAMBIOS "/>
      <sheetName val="Listas Desplegables"/>
      <sheetName val="RC-RI"/>
      <sheetName val="Hoja3"/>
    </sheetNames>
    <sheetDataSet>
      <sheetData sheetId="0"/>
      <sheetData sheetId="1"/>
      <sheetData sheetId="2"/>
      <sheetData sheetId="3"/>
      <sheetData sheetId="4">
        <row r="23">
          <cell r="C23" t="str">
            <v xml:space="preserve">Formativa </v>
          </cell>
        </row>
        <row r="24">
          <cell r="C24" t="str">
            <v>Assessment RC</v>
          </cell>
        </row>
      </sheetData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ian Alexander Medrano" id="{9A0456C3-2972-4207-B817-FF75961360C3}" userId="S::christianalexander.medrano@udla.edu.ec::a9786746-e10d-4f0c-8d7b-3389302b8fc7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4" dT="2025-07-10T15:54:41.76" personId="{9A0456C3-2972-4207-B817-FF75961360C3}" id="{933FCCEE-298D-4EB7-99E1-2155FA043AE4}">
    <text xml:space="preserve">HE: Heteroevaluación
CE: Coevaluación
AE: Autoevaluación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4996-D867-4BA4-84E4-B93EB17109A5}">
  <dimension ref="B8:D28"/>
  <sheetViews>
    <sheetView workbookViewId="0"/>
  </sheetViews>
  <sheetFormatPr baseColWidth="10" defaultRowHeight="14.5" x14ac:dyDescent="0.35"/>
  <cols>
    <col min="2" max="2" width="28.54296875" customWidth="1"/>
    <col min="3" max="3" width="13.81640625" customWidth="1"/>
    <col min="4" max="4" width="31.81640625" customWidth="1"/>
  </cols>
  <sheetData>
    <row r="8" spans="2:4" x14ac:dyDescent="0.35">
      <c r="B8" s="85" t="s">
        <v>38</v>
      </c>
      <c r="D8" s="85" t="s">
        <v>158</v>
      </c>
    </row>
    <row r="9" spans="2:4" x14ac:dyDescent="0.35">
      <c r="B9" s="86" t="s">
        <v>112</v>
      </c>
      <c r="D9" s="11" t="s">
        <v>112</v>
      </c>
    </row>
    <row r="10" spans="2:4" x14ac:dyDescent="0.35">
      <c r="B10" s="86" t="s">
        <v>114</v>
      </c>
      <c r="D10" s="11" t="s">
        <v>114</v>
      </c>
    </row>
    <row r="11" spans="2:4" x14ac:dyDescent="0.35">
      <c r="B11" s="86" t="s">
        <v>116</v>
      </c>
      <c r="D11" s="11" t="s">
        <v>159</v>
      </c>
    </row>
    <row r="12" spans="2:4" x14ac:dyDescent="0.35">
      <c r="B12" s="86" t="s">
        <v>117</v>
      </c>
      <c r="D12" s="11" t="s">
        <v>160</v>
      </c>
    </row>
    <row r="13" spans="2:4" x14ac:dyDescent="0.35">
      <c r="B13" s="86" t="s">
        <v>118</v>
      </c>
      <c r="D13" s="11" t="s">
        <v>118</v>
      </c>
    </row>
    <row r="14" spans="2:4" x14ac:dyDescent="0.35">
      <c r="B14" s="86" t="s">
        <v>119</v>
      </c>
      <c r="D14" s="11" t="s">
        <v>161</v>
      </c>
    </row>
    <row r="15" spans="2:4" x14ac:dyDescent="0.35">
      <c r="B15" s="86" t="s">
        <v>120</v>
      </c>
      <c r="D15" s="11" t="s">
        <v>119</v>
      </c>
    </row>
    <row r="16" spans="2:4" x14ac:dyDescent="0.35">
      <c r="B16" s="86" t="s">
        <v>121</v>
      </c>
      <c r="D16" s="11" t="s">
        <v>120</v>
      </c>
    </row>
    <row r="17" spans="2:4" x14ac:dyDescent="0.35">
      <c r="B17" s="86" t="s">
        <v>122</v>
      </c>
      <c r="D17" s="11" t="s">
        <v>121</v>
      </c>
    </row>
    <row r="18" spans="2:4" x14ac:dyDescent="0.35">
      <c r="B18" s="86" t="s">
        <v>123</v>
      </c>
      <c r="D18" s="11" t="s">
        <v>162</v>
      </c>
    </row>
    <row r="19" spans="2:4" x14ac:dyDescent="0.35">
      <c r="B19" s="86" t="s">
        <v>124</v>
      </c>
      <c r="D19" s="11" t="s">
        <v>122</v>
      </c>
    </row>
    <row r="20" spans="2:4" x14ac:dyDescent="0.35">
      <c r="B20" s="86" t="s">
        <v>126</v>
      </c>
      <c r="D20" s="11" t="s">
        <v>123</v>
      </c>
    </row>
    <row r="21" spans="2:4" x14ac:dyDescent="0.35">
      <c r="B21" s="86" t="s">
        <v>128</v>
      </c>
      <c r="D21" s="11" t="s">
        <v>124</v>
      </c>
    </row>
    <row r="22" spans="2:4" x14ac:dyDescent="0.35">
      <c r="B22" s="86" t="s">
        <v>130</v>
      </c>
      <c r="D22" s="11" t="s">
        <v>126</v>
      </c>
    </row>
    <row r="23" spans="2:4" x14ac:dyDescent="0.35">
      <c r="B23" s="86" t="s">
        <v>132</v>
      </c>
      <c r="D23" s="11" t="s">
        <v>128</v>
      </c>
    </row>
    <row r="24" spans="2:4" ht="29" x14ac:dyDescent="0.35">
      <c r="B24" s="86" t="s">
        <v>133</v>
      </c>
      <c r="D24" s="11" t="s">
        <v>130</v>
      </c>
    </row>
    <row r="25" spans="2:4" x14ac:dyDescent="0.35">
      <c r="B25" s="86" t="s">
        <v>134</v>
      </c>
      <c r="D25" s="11" t="s">
        <v>132</v>
      </c>
    </row>
    <row r="26" spans="2:4" x14ac:dyDescent="0.35">
      <c r="B26" s="86" t="s">
        <v>136</v>
      </c>
      <c r="D26" s="11" t="s">
        <v>133</v>
      </c>
    </row>
    <row r="27" spans="2:4" x14ac:dyDescent="0.35">
      <c r="D27" s="11" t="s">
        <v>134</v>
      </c>
    </row>
    <row r="28" spans="2:4" x14ac:dyDescent="0.35">
      <c r="D28" s="11" t="s">
        <v>136</v>
      </c>
    </row>
  </sheetData>
  <sheetProtection algorithmName="SHA-512" hashValue="GEn2+NYX5UPZ5QF2B++HLcdTKnyMhOucT0Griu47iPzdsoinGpQSxcGD9zifrgxvi/0oxXMQGQBQ0Es0wqBQrQ==" saltValue="u68Ge2lTAncoNXpZcxXfGQ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BED0-2A96-4498-A425-B32E664116D2}">
  <sheetPr codeName="Hoja1">
    <pageSetUpPr autoPageBreaks="0"/>
  </sheetPr>
  <dimension ref="C2:AL57"/>
  <sheetViews>
    <sheetView showGridLines="0" tabSelected="1" zoomScale="95" zoomScaleNormal="95" workbookViewId="0">
      <pane xSplit="7" ySplit="8" topLeftCell="Q9" activePane="bottomRight" state="frozen"/>
      <selection pane="topRight" activeCell="H1" sqref="H1"/>
      <selection pane="bottomLeft" activeCell="A9" sqref="A9"/>
      <selection pane="bottomRight" activeCell="R57" sqref="R57"/>
    </sheetView>
  </sheetViews>
  <sheetFormatPr baseColWidth="10" defaultColWidth="11.453125" defaultRowHeight="14.5" x14ac:dyDescent="0.35"/>
  <cols>
    <col min="1" max="1" width="3" customWidth="1"/>
    <col min="2" max="2" width="3.1796875" customWidth="1"/>
    <col min="3" max="3" width="7.453125" style="12" bestFit="1" customWidth="1"/>
    <col min="4" max="4" width="12.1796875" customWidth="1"/>
    <col min="5" max="5" width="7.54296875" customWidth="1"/>
    <col min="6" max="6" width="10" bestFit="1" customWidth="1"/>
    <col min="7" max="7" width="15.1796875" customWidth="1"/>
    <col min="8" max="8" width="11.453125" customWidth="1"/>
    <col min="9" max="9" width="8.453125" style="13" customWidth="1"/>
    <col min="10" max="10" width="9.453125" customWidth="1"/>
    <col min="11" max="11" width="10.453125" customWidth="1"/>
    <col min="12" max="12" width="16.81640625" customWidth="1"/>
    <col min="13" max="15" width="12.1796875" customWidth="1"/>
    <col min="16" max="16" width="10.453125" bestFit="1" customWidth="1"/>
    <col min="17" max="17" width="12.453125" customWidth="1"/>
    <col min="18" max="18" width="36.54296875" style="59" customWidth="1"/>
    <col min="19" max="19" width="36.54296875" customWidth="1"/>
    <col min="20" max="20" width="0.54296875" customWidth="1"/>
    <col min="21" max="22" width="12.1796875" customWidth="1"/>
    <col min="23" max="23" width="15" customWidth="1"/>
    <col min="24" max="24" width="13" customWidth="1"/>
    <col min="25" max="25" width="12.453125" customWidth="1"/>
    <col min="26" max="26" width="0.54296875" customWidth="1"/>
    <col min="27" max="32" width="12.453125" customWidth="1"/>
    <col min="33" max="33" width="0.54296875" customWidth="1"/>
    <col min="34" max="34" width="0.1796875" customWidth="1"/>
    <col min="35" max="35" width="31.1796875" style="14" hidden="1" customWidth="1"/>
    <col min="36" max="36" width="12" style="14" hidden="1" customWidth="1"/>
    <col min="37" max="37" width="16.54296875" hidden="1" customWidth="1"/>
    <col min="38" max="38" width="0.1796875" hidden="1" customWidth="1"/>
  </cols>
  <sheetData>
    <row r="2" spans="3:38" ht="39" customHeight="1" x14ac:dyDescent="0.35"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</row>
    <row r="3" spans="3:38" ht="39" customHeight="1" x14ac:dyDescent="0.35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</row>
    <row r="4" spans="3:38" ht="15.75" customHeight="1" thickBot="1" x14ac:dyDescent="0.4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84" t="s">
        <v>157</v>
      </c>
      <c r="AC4" s="67"/>
      <c r="AD4" s="67"/>
      <c r="AE4" s="67"/>
      <c r="AF4" s="67"/>
      <c r="AG4" s="67"/>
      <c r="AH4" s="67"/>
      <c r="AI4" s="67"/>
      <c r="AJ4" s="67"/>
      <c r="AK4" s="67"/>
      <c r="AL4" s="67"/>
    </row>
    <row r="5" spans="3:38" ht="29" hidden="1" thickBot="1" x14ac:dyDescent="0.4">
      <c r="C5" s="15"/>
      <c r="D5" s="36"/>
      <c r="E5" s="36"/>
      <c r="F5" s="50"/>
      <c r="G5" s="50"/>
      <c r="H5" s="36"/>
      <c r="I5" s="37"/>
      <c r="J5" s="36"/>
      <c r="K5" s="36"/>
      <c r="L5" s="36"/>
      <c r="M5" s="36"/>
      <c r="N5" s="36"/>
      <c r="O5" s="36"/>
      <c r="P5" s="36"/>
      <c r="Q5" s="36"/>
      <c r="R5" s="60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8"/>
      <c r="AJ5" s="36"/>
      <c r="AK5" s="39"/>
    </row>
    <row r="6" spans="3:38" ht="29" hidden="1" thickBot="1" x14ac:dyDescent="0.4">
      <c r="C6" s="15"/>
      <c r="D6" s="36"/>
      <c r="E6" s="36"/>
      <c r="F6" s="50"/>
      <c r="G6" s="50"/>
      <c r="H6" s="36"/>
      <c r="I6" s="37"/>
      <c r="J6" s="36"/>
      <c r="K6" s="36"/>
      <c r="L6" s="36"/>
      <c r="M6" s="36"/>
      <c r="N6" s="36"/>
      <c r="O6" s="36"/>
      <c r="P6" s="36"/>
      <c r="Q6" s="36"/>
      <c r="R6" s="60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/>
      <c r="AJ6" s="36"/>
      <c r="AK6" s="39"/>
    </row>
    <row r="7" spans="3:38" s="13" customFormat="1" ht="24.75" customHeight="1" x14ac:dyDescent="0.3">
      <c r="C7" s="171" t="s">
        <v>0</v>
      </c>
      <c r="D7" s="144" t="s">
        <v>1</v>
      </c>
      <c r="E7" s="144" t="s">
        <v>2</v>
      </c>
      <c r="F7" s="144" t="s">
        <v>3</v>
      </c>
      <c r="G7" s="144" t="s">
        <v>4</v>
      </c>
      <c r="H7" s="144" t="s">
        <v>5</v>
      </c>
      <c r="I7" s="175" t="s">
        <v>6</v>
      </c>
      <c r="J7" s="175" t="s">
        <v>7</v>
      </c>
      <c r="K7" s="178" t="s">
        <v>8</v>
      </c>
      <c r="L7" s="173" t="s">
        <v>9</v>
      </c>
      <c r="M7" s="177" t="s">
        <v>10</v>
      </c>
      <c r="N7" s="177"/>
      <c r="O7" s="177"/>
      <c r="P7" s="146" t="s">
        <v>11</v>
      </c>
      <c r="Q7" s="144" t="s">
        <v>12</v>
      </c>
      <c r="R7" s="113" t="s">
        <v>149</v>
      </c>
      <c r="S7" s="114"/>
      <c r="T7" s="74"/>
      <c r="U7" s="115" t="s">
        <v>156</v>
      </c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7"/>
      <c r="AG7" s="74"/>
      <c r="AH7" s="150" t="s">
        <v>17</v>
      </c>
      <c r="AI7" s="152" t="s">
        <v>17</v>
      </c>
      <c r="AJ7" s="142" t="s">
        <v>18</v>
      </c>
      <c r="AK7" s="148" t="s">
        <v>19</v>
      </c>
      <c r="AL7" s="140" t="s">
        <v>20</v>
      </c>
    </row>
    <row r="8" spans="3:38" s="13" customFormat="1" ht="31.5" customHeight="1" thickBot="1" x14ac:dyDescent="0.35">
      <c r="C8" s="172"/>
      <c r="D8" s="145"/>
      <c r="E8" s="145"/>
      <c r="F8" s="145"/>
      <c r="G8" s="145"/>
      <c r="H8" s="145"/>
      <c r="I8" s="176"/>
      <c r="J8" s="176"/>
      <c r="K8" s="179"/>
      <c r="L8" s="174"/>
      <c r="M8" s="16" t="s">
        <v>21</v>
      </c>
      <c r="N8" s="17" t="s">
        <v>22</v>
      </c>
      <c r="O8" s="18" t="s">
        <v>11</v>
      </c>
      <c r="P8" s="147"/>
      <c r="Q8" s="145"/>
      <c r="R8" s="68" t="s">
        <v>13</v>
      </c>
      <c r="S8" s="68" t="s">
        <v>14</v>
      </c>
      <c r="T8" s="75"/>
      <c r="U8" s="70" t="s">
        <v>150</v>
      </c>
      <c r="V8" s="71" t="s">
        <v>15</v>
      </c>
      <c r="W8" s="71" t="s">
        <v>16</v>
      </c>
      <c r="X8" s="70" t="s">
        <v>39</v>
      </c>
      <c r="Y8" s="70" t="s">
        <v>151</v>
      </c>
      <c r="Z8" s="75"/>
      <c r="AA8" s="72" t="s">
        <v>152</v>
      </c>
      <c r="AB8" s="72" t="s">
        <v>153</v>
      </c>
      <c r="AC8" s="72" t="s">
        <v>154</v>
      </c>
      <c r="AD8" s="73" t="s">
        <v>155</v>
      </c>
      <c r="AE8" s="72" t="s">
        <v>39</v>
      </c>
      <c r="AF8" s="99" t="s">
        <v>151</v>
      </c>
      <c r="AG8" s="97"/>
      <c r="AH8" s="151"/>
      <c r="AI8" s="153"/>
      <c r="AJ8" s="143"/>
      <c r="AK8" s="149"/>
      <c r="AL8" s="141"/>
    </row>
    <row r="9" spans="3:38" ht="15" customHeight="1" x14ac:dyDescent="0.35">
      <c r="C9" s="180">
        <v>1</v>
      </c>
      <c r="D9" s="128">
        <v>1</v>
      </c>
      <c r="E9" s="128" t="s">
        <v>23</v>
      </c>
      <c r="F9" s="185" t="s">
        <v>167</v>
      </c>
      <c r="G9" s="184" t="s">
        <v>141</v>
      </c>
      <c r="H9" s="181" t="s">
        <v>207</v>
      </c>
      <c r="I9" s="168" t="s">
        <v>25</v>
      </c>
      <c r="J9" s="165">
        <v>3</v>
      </c>
      <c r="K9" s="162">
        <v>64</v>
      </c>
      <c r="L9" s="161">
        <v>44</v>
      </c>
      <c r="M9" s="160">
        <v>12</v>
      </c>
      <c r="N9" s="159">
        <v>24</v>
      </c>
      <c r="O9" s="157">
        <f>SUM(M9:N13)</f>
        <v>36</v>
      </c>
      <c r="P9" s="155">
        <f>K9+L9+O9</f>
        <v>144</v>
      </c>
      <c r="Q9" s="154" t="s">
        <v>26</v>
      </c>
      <c r="R9" s="63" t="s">
        <v>212</v>
      </c>
      <c r="S9" s="104" t="s">
        <v>163</v>
      </c>
      <c r="T9" s="76"/>
      <c r="U9" s="65" t="s">
        <v>89</v>
      </c>
      <c r="V9" s="103" t="s">
        <v>120</v>
      </c>
      <c r="W9" s="40" t="s">
        <v>195</v>
      </c>
      <c r="X9" s="87" t="s">
        <v>37</v>
      </c>
      <c r="Y9" s="88" t="str">
        <f t="shared" ref="Y9:Y40" si="0">IF(U9="Assessment RP","APLICA","")</f>
        <v/>
      </c>
      <c r="Z9" s="76"/>
      <c r="AA9" s="65"/>
      <c r="AB9" s="92"/>
      <c r="AC9" s="53"/>
      <c r="AD9" s="53"/>
      <c r="AE9" s="87"/>
      <c r="AF9" s="100" t="str">
        <f t="shared" ref="AF9:AF40" si="1">IF(AA9="Assessment","APLICA","")</f>
        <v/>
      </c>
      <c r="AG9" s="76"/>
      <c r="AH9" s="46"/>
      <c r="AI9" s="19"/>
      <c r="AJ9" s="34"/>
      <c r="AK9" s="42"/>
      <c r="AL9" s="45"/>
    </row>
    <row r="10" spans="3:38" ht="15" customHeight="1" x14ac:dyDescent="0.35">
      <c r="C10" s="133"/>
      <c r="D10" s="124"/>
      <c r="E10" s="124"/>
      <c r="F10" s="138"/>
      <c r="G10" s="135"/>
      <c r="H10" s="182"/>
      <c r="I10" s="169"/>
      <c r="J10" s="166"/>
      <c r="K10" s="163"/>
      <c r="L10" s="127"/>
      <c r="M10" s="129"/>
      <c r="N10" s="130"/>
      <c r="O10" s="158"/>
      <c r="P10" s="121"/>
      <c r="Q10" s="122"/>
      <c r="R10" s="64" t="s">
        <v>213</v>
      </c>
      <c r="S10" s="105" t="s">
        <v>164</v>
      </c>
      <c r="T10" s="77"/>
      <c r="U10" s="65" t="s">
        <v>89</v>
      </c>
      <c r="V10" s="103" t="s">
        <v>118</v>
      </c>
      <c r="W10" s="40" t="s">
        <v>195</v>
      </c>
      <c r="X10" s="87" t="s">
        <v>37</v>
      </c>
      <c r="Y10" s="88" t="str">
        <f t="shared" si="0"/>
        <v/>
      </c>
      <c r="Z10" s="77"/>
      <c r="AA10" s="65"/>
      <c r="AB10" s="92"/>
      <c r="AC10" s="54"/>
      <c r="AD10" s="54"/>
      <c r="AE10" s="87"/>
      <c r="AF10" s="100" t="str">
        <f t="shared" si="1"/>
        <v/>
      </c>
      <c r="AG10" s="77"/>
      <c r="AH10" s="35"/>
      <c r="AI10" s="51"/>
      <c r="AJ10" s="35"/>
      <c r="AK10" s="43"/>
      <c r="AL10" s="44"/>
    </row>
    <row r="11" spans="3:38" ht="15" customHeight="1" x14ac:dyDescent="0.35">
      <c r="C11" s="133"/>
      <c r="D11" s="124"/>
      <c r="E11" s="124"/>
      <c r="F11" s="138"/>
      <c r="G11" s="135"/>
      <c r="H11" s="182"/>
      <c r="I11" s="169"/>
      <c r="J11" s="166"/>
      <c r="K11" s="163"/>
      <c r="L11" s="127"/>
      <c r="M11" s="129"/>
      <c r="N11" s="130"/>
      <c r="O11" s="158"/>
      <c r="P11" s="121"/>
      <c r="Q11" s="122"/>
      <c r="R11" s="64" t="s">
        <v>177</v>
      </c>
      <c r="S11" s="106" t="s">
        <v>166</v>
      </c>
      <c r="T11" s="78"/>
      <c r="U11" s="65" t="s">
        <v>89</v>
      </c>
      <c r="V11" s="103" t="s">
        <v>116</v>
      </c>
      <c r="W11" s="40" t="s">
        <v>93</v>
      </c>
      <c r="X11" s="87" t="s">
        <v>37</v>
      </c>
      <c r="Y11" s="88" t="str">
        <f t="shared" si="0"/>
        <v/>
      </c>
      <c r="Z11" s="78"/>
      <c r="AA11" s="65"/>
      <c r="AB11" s="92"/>
      <c r="AC11" s="55"/>
      <c r="AD11" s="55"/>
      <c r="AE11" s="87"/>
      <c r="AF11" s="100" t="str">
        <f t="shared" si="1"/>
        <v/>
      </c>
      <c r="AG11" s="78"/>
      <c r="AH11" s="47"/>
      <c r="AI11" s="51"/>
      <c r="AJ11" s="35"/>
      <c r="AK11" s="43"/>
      <c r="AL11" s="44"/>
    </row>
    <row r="12" spans="3:38" x14ac:dyDescent="0.35">
      <c r="C12" s="133"/>
      <c r="D12" s="124"/>
      <c r="E12" s="124"/>
      <c r="F12" s="138"/>
      <c r="G12" s="135"/>
      <c r="H12" s="182"/>
      <c r="I12" s="169"/>
      <c r="J12" s="166"/>
      <c r="K12" s="163"/>
      <c r="L12" s="127"/>
      <c r="M12" s="129"/>
      <c r="N12" s="130"/>
      <c r="O12" s="158"/>
      <c r="P12" s="121"/>
      <c r="Q12" s="122"/>
      <c r="R12" s="61"/>
      <c r="S12" s="105"/>
      <c r="T12" s="77"/>
      <c r="U12" s="65"/>
      <c r="V12" s="103"/>
      <c r="W12" s="40"/>
      <c r="X12" s="87"/>
      <c r="Y12" s="88" t="str">
        <f t="shared" si="0"/>
        <v/>
      </c>
      <c r="Z12" s="77"/>
      <c r="AA12" s="65"/>
      <c r="AB12" s="92"/>
      <c r="AC12" s="54"/>
      <c r="AD12" s="54"/>
      <c r="AE12" s="87"/>
      <c r="AF12" s="100" t="str">
        <f t="shared" si="1"/>
        <v/>
      </c>
      <c r="AG12" s="77"/>
      <c r="AH12" s="20"/>
      <c r="AI12" s="51"/>
      <c r="AJ12" s="35"/>
      <c r="AK12" s="43"/>
      <c r="AL12" s="44"/>
    </row>
    <row r="13" spans="3:38" x14ac:dyDescent="0.35">
      <c r="C13" s="133"/>
      <c r="D13" s="124"/>
      <c r="E13" s="124"/>
      <c r="F13" s="138"/>
      <c r="G13" s="136"/>
      <c r="H13" s="183"/>
      <c r="I13" s="170"/>
      <c r="J13" s="167"/>
      <c r="K13" s="164"/>
      <c r="L13" s="127"/>
      <c r="M13" s="129"/>
      <c r="N13" s="130"/>
      <c r="O13" s="158"/>
      <c r="P13" s="156"/>
      <c r="Q13" s="122"/>
      <c r="R13" s="61"/>
      <c r="S13" s="105"/>
      <c r="T13" s="77"/>
      <c r="U13" s="65"/>
      <c r="V13" s="103"/>
      <c r="W13" s="40"/>
      <c r="X13" s="87"/>
      <c r="Y13" s="88" t="str">
        <f t="shared" si="0"/>
        <v/>
      </c>
      <c r="Z13" s="77"/>
      <c r="AA13" s="65"/>
      <c r="AB13" s="92"/>
      <c r="AC13" s="54"/>
      <c r="AD13" s="54"/>
      <c r="AE13" s="87"/>
      <c r="AF13" s="100" t="str">
        <f t="shared" si="1"/>
        <v/>
      </c>
      <c r="AG13" s="77"/>
      <c r="AH13" s="20"/>
      <c r="AI13" s="51"/>
      <c r="AJ13" s="35"/>
      <c r="AK13" s="43"/>
      <c r="AL13" s="44"/>
    </row>
    <row r="14" spans="3:38" ht="15" customHeight="1" x14ac:dyDescent="0.35">
      <c r="C14" s="133">
        <v>2</v>
      </c>
      <c r="D14" s="124">
        <v>1</v>
      </c>
      <c r="E14" s="124" t="s">
        <v>23</v>
      </c>
      <c r="F14" s="137" t="s">
        <v>168</v>
      </c>
      <c r="G14" s="134" t="s">
        <v>142</v>
      </c>
      <c r="H14" s="123" t="s">
        <v>24</v>
      </c>
      <c r="I14" s="126" t="s">
        <v>25</v>
      </c>
      <c r="J14" s="131">
        <v>3</v>
      </c>
      <c r="K14" s="132">
        <v>79</v>
      </c>
      <c r="L14" s="127">
        <v>53</v>
      </c>
      <c r="M14" s="129">
        <v>0</v>
      </c>
      <c r="N14" s="130">
        <v>12</v>
      </c>
      <c r="O14" s="118">
        <f>SUM(M14:N18)</f>
        <v>12</v>
      </c>
      <c r="P14" s="121">
        <f>K14+L14+O14</f>
        <v>144</v>
      </c>
      <c r="Q14" s="122" t="s">
        <v>26</v>
      </c>
      <c r="R14" s="64" t="s">
        <v>214</v>
      </c>
      <c r="S14" s="105" t="s">
        <v>163</v>
      </c>
      <c r="T14" s="77"/>
      <c r="U14" s="65" t="s">
        <v>89</v>
      </c>
      <c r="V14" s="103" t="s">
        <v>118</v>
      </c>
      <c r="W14" s="40" t="s">
        <v>195</v>
      </c>
      <c r="X14" s="87" t="s">
        <v>37</v>
      </c>
      <c r="Y14" s="88" t="str">
        <f t="shared" si="0"/>
        <v/>
      </c>
      <c r="Z14" s="77"/>
      <c r="AA14" s="65"/>
      <c r="AB14" s="92"/>
      <c r="AC14" s="54"/>
      <c r="AD14" s="54"/>
      <c r="AE14" s="87"/>
      <c r="AF14" s="100" t="str">
        <f t="shared" si="1"/>
        <v/>
      </c>
      <c r="AG14" s="77"/>
      <c r="AH14" s="20"/>
      <c r="AI14" s="51"/>
      <c r="AJ14" s="35"/>
      <c r="AK14" s="43"/>
      <c r="AL14" s="44"/>
    </row>
    <row r="15" spans="3:38" ht="15" customHeight="1" x14ac:dyDescent="0.35">
      <c r="C15" s="133"/>
      <c r="D15" s="124"/>
      <c r="E15" s="124"/>
      <c r="F15" s="138"/>
      <c r="G15" s="135"/>
      <c r="H15" s="123"/>
      <c r="I15" s="126"/>
      <c r="J15" s="131"/>
      <c r="K15" s="132"/>
      <c r="L15" s="127"/>
      <c r="M15" s="129"/>
      <c r="N15" s="130"/>
      <c r="O15" s="119"/>
      <c r="P15" s="121"/>
      <c r="Q15" s="122"/>
      <c r="R15" s="64" t="s">
        <v>178</v>
      </c>
      <c r="S15" s="105" t="s">
        <v>164</v>
      </c>
      <c r="T15" s="77"/>
      <c r="U15" s="65" t="s">
        <v>89</v>
      </c>
      <c r="V15" s="103" t="s">
        <v>126</v>
      </c>
      <c r="W15" s="40" t="s">
        <v>195</v>
      </c>
      <c r="X15" s="87" t="s">
        <v>37</v>
      </c>
      <c r="Y15" s="88" t="str">
        <f t="shared" si="0"/>
        <v/>
      </c>
      <c r="Z15" s="77"/>
      <c r="AA15" s="65"/>
      <c r="AB15" s="92"/>
      <c r="AC15" s="54"/>
      <c r="AD15" s="54"/>
      <c r="AE15" s="87"/>
      <c r="AF15" s="100" t="str">
        <f t="shared" si="1"/>
        <v/>
      </c>
      <c r="AG15" s="77"/>
      <c r="AH15" s="20"/>
      <c r="AI15" s="51"/>
      <c r="AJ15" s="35"/>
      <c r="AK15" s="43"/>
      <c r="AL15" s="44"/>
    </row>
    <row r="16" spans="3:38" ht="15" customHeight="1" x14ac:dyDescent="0.35">
      <c r="C16" s="133"/>
      <c r="D16" s="124"/>
      <c r="E16" s="124"/>
      <c r="F16" s="138"/>
      <c r="G16" s="135"/>
      <c r="H16" s="123"/>
      <c r="I16" s="126"/>
      <c r="J16" s="131"/>
      <c r="K16" s="132"/>
      <c r="L16" s="127"/>
      <c r="M16" s="129"/>
      <c r="N16" s="130"/>
      <c r="O16" s="119"/>
      <c r="P16" s="121"/>
      <c r="Q16" s="122"/>
      <c r="R16" s="64" t="s">
        <v>179</v>
      </c>
      <c r="S16" s="105" t="s">
        <v>165</v>
      </c>
      <c r="T16" s="77"/>
      <c r="U16" s="65" t="s">
        <v>89</v>
      </c>
      <c r="V16" s="103" t="s">
        <v>124</v>
      </c>
      <c r="W16" s="40" t="s">
        <v>195</v>
      </c>
      <c r="X16" s="87" t="s">
        <v>37</v>
      </c>
      <c r="Y16" s="88" t="str">
        <f t="shared" si="0"/>
        <v/>
      </c>
      <c r="Z16" s="77"/>
      <c r="AA16" s="65"/>
      <c r="AB16" s="92"/>
      <c r="AC16" s="54"/>
      <c r="AD16" s="54"/>
      <c r="AE16" s="87"/>
      <c r="AF16" s="100" t="str">
        <f t="shared" si="1"/>
        <v/>
      </c>
      <c r="AG16" s="77"/>
      <c r="AH16" s="20"/>
      <c r="AI16" s="51"/>
      <c r="AJ16" s="35"/>
      <c r="AK16" s="43"/>
      <c r="AL16" s="44"/>
    </row>
    <row r="17" spans="3:38" ht="15" customHeight="1" x14ac:dyDescent="0.35">
      <c r="C17" s="133"/>
      <c r="D17" s="124"/>
      <c r="E17" s="124"/>
      <c r="F17" s="138"/>
      <c r="G17" s="135"/>
      <c r="H17" s="123"/>
      <c r="I17" s="126"/>
      <c r="J17" s="131"/>
      <c r="K17" s="132"/>
      <c r="L17" s="127"/>
      <c r="M17" s="129"/>
      <c r="N17" s="130"/>
      <c r="O17" s="119"/>
      <c r="P17" s="121"/>
      <c r="Q17" s="122"/>
      <c r="R17" s="40"/>
      <c r="S17" s="105"/>
      <c r="T17" s="77"/>
      <c r="U17" s="65"/>
      <c r="V17" s="103"/>
      <c r="W17" s="40"/>
      <c r="X17" s="87"/>
      <c r="Y17" s="88" t="str">
        <f t="shared" si="0"/>
        <v/>
      </c>
      <c r="Z17" s="77"/>
      <c r="AA17" s="65"/>
      <c r="AB17" s="92"/>
      <c r="AC17" s="54"/>
      <c r="AD17" s="54"/>
      <c r="AE17" s="87"/>
      <c r="AF17" s="100" t="str">
        <f t="shared" si="1"/>
        <v/>
      </c>
      <c r="AG17" s="77"/>
      <c r="AH17" s="20"/>
      <c r="AI17" s="51"/>
      <c r="AJ17" s="35"/>
      <c r="AK17" s="43"/>
      <c r="AL17" s="44"/>
    </row>
    <row r="18" spans="3:38" ht="15" customHeight="1" x14ac:dyDescent="0.35">
      <c r="C18" s="133"/>
      <c r="D18" s="124"/>
      <c r="E18" s="124"/>
      <c r="F18" s="138"/>
      <c r="G18" s="136"/>
      <c r="H18" s="123"/>
      <c r="I18" s="126"/>
      <c r="J18" s="131"/>
      <c r="K18" s="132"/>
      <c r="L18" s="127"/>
      <c r="M18" s="129"/>
      <c r="N18" s="130"/>
      <c r="O18" s="120"/>
      <c r="P18" s="121"/>
      <c r="Q18" s="122"/>
      <c r="R18" s="61"/>
      <c r="S18" s="105"/>
      <c r="T18" s="77"/>
      <c r="U18" s="65"/>
      <c r="V18" s="103"/>
      <c r="W18" s="40"/>
      <c r="X18" s="87"/>
      <c r="Y18" s="88" t="str">
        <f t="shared" si="0"/>
        <v/>
      </c>
      <c r="Z18" s="77"/>
      <c r="AA18" s="65"/>
      <c r="AB18" s="92"/>
      <c r="AC18" s="54"/>
      <c r="AD18" s="54"/>
      <c r="AE18" s="87"/>
      <c r="AF18" s="100" t="str">
        <f t="shared" si="1"/>
        <v/>
      </c>
      <c r="AG18" s="77"/>
      <c r="AH18" s="20"/>
      <c r="AI18" s="51"/>
      <c r="AJ18" s="35"/>
      <c r="AK18" s="43"/>
      <c r="AL18" s="44"/>
    </row>
    <row r="19" spans="3:38" ht="15" customHeight="1" x14ac:dyDescent="0.35">
      <c r="C19" s="133">
        <v>3</v>
      </c>
      <c r="D19" s="124">
        <v>1</v>
      </c>
      <c r="E19" s="124" t="s">
        <v>23</v>
      </c>
      <c r="F19" s="137" t="s">
        <v>169</v>
      </c>
      <c r="G19" s="125" t="s">
        <v>143</v>
      </c>
      <c r="H19" s="123" t="s">
        <v>24</v>
      </c>
      <c r="I19" s="126" t="s">
        <v>25</v>
      </c>
      <c r="J19" s="131">
        <v>3</v>
      </c>
      <c r="K19" s="132">
        <v>79</v>
      </c>
      <c r="L19" s="127">
        <v>53</v>
      </c>
      <c r="M19" s="129">
        <v>0</v>
      </c>
      <c r="N19" s="130">
        <v>12</v>
      </c>
      <c r="O19" s="118">
        <f t="shared" ref="O19" si="2">SUM(M19:N23)</f>
        <v>12</v>
      </c>
      <c r="P19" s="121">
        <f t="shared" ref="P19" si="3">K19+L19+O19</f>
        <v>144</v>
      </c>
      <c r="Q19" s="122" t="s">
        <v>26</v>
      </c>
      <c r="R19" s="64" t="s">
        <v>180</v>
      </c>
      <c r="S19" s="105" t="s">
        <v>163</v>
      </c>
      <c r="T19" s="77"/>
      <c r="U19" s="65" t="s">
        <v>89</v>
      </c>
      <c r="V19" s="103" t="s">
        <v>118</v>
      </c>
      <c r="W19" s="40" t="s">
        <v>195</v>
      </c>
      <c r="X19" s="87" t="s">
        <v>37</v>
      </c>
      <c r="Y19" s="88" t="str">
        <f t="shared" si="0"/>
        <v/>
      </c>
      <c r="Z19" s="77"/>
      <c r="AA19" s="65"/>
      <c r="AB19" s="92"/>
      <c r="AC19" s="54"/>
      <c r="AD19" s="54"/>
      <c r="AE19" s="87"/>
      <c r="AF19" s="100" t="str">
        <f t="shared" si="1"/>
        <v/>
      </c>
      <c r="AG19" s="77"/>
      <c r="AH19" s="20"/>
      <c r="AI19" s="21"/>
      <c r="AJ19" s="35"/>
      <c r="AK19" s="43"/>
      <c r="AL19" s="44"/>
    </row>
    <row r="20" spans="3:38" ht="15" customHeight="1" x14ac:dyDescent="0.35">
      <c r="C20" s="133"/>
      <c r="D20" s="124"/>
      <c r="E20" s="124"/>
      <c r="F20" s="138"/>
      <c r="G20" s="125"/>
      <c r="H20" s="123"/>
      <c r="I20" s="126"/>
      <c r="J20" s="131"/>
      <c r="K20" s="132"/>
      <c r="L20" s="127"/>
      <c r="M20" s="129"/>
      <c r="N20" s="130"/>
      <c r="O20" s="119"/>
      <c r="P20" s="121"/>
      <c r="Q20" s="122"/>
      <c r="R20" s="64" t="s">
        <v>181</v>
      </c>
      <c r="S20" s="105" t="s">
        <v>164</v>
      </c>
      <c r="T20" s="77"/>
      <c r="U20" s="65" t="s">
        <v>89</v>
      </c>
      <c r="V20" s="103" t="s">
        <v>126</v>
      </c>
      <c r="W20" s="40" t="s">
        <v>195</v>
      </c>
      <c r="X20" s="87" t="s">
        <v>37</v>
      </c>
      <c r="Y20" s="88" t="str">
        <f t="shared" si="0"/>
        <v/>
      </c>
      <c r="Z20" s="77"/>
      <c r="AA20" s="65"/>
      <c r="AB20" s="92"/>
      <c r="AC20" s="54"/>
      <c r="AD20" s="54"/>
      <c r="AE20" s="87"/>
      <c r="AF20" s="100" t="str">
        <f t="shared" si="1"/>
        <v/>
      </c>
      <c r="AG20" s="77"/>
      <c r="AH20" s="20"/>
      <c r="AI20" s="21"/>
      <c r="AJ20" s="35"/>
      <c r="AK20" s="43"/>
      <c r="AL20" s="44"/>
    </row>
    <row r="21" spans="3:38" ht="15" customHeight="1" x14ac:dyDescent="0.35">
      <c r="C21" s="133"/>
      <c r="D21" s="124"/>
      <c r="E21" s="124"/>
      <c r="F21" s="138"/>
      <c r="G21" s="125"/>
      <c r="H21" s="123"/>
      <c r="I21" s="126"/>
      <c r="J21" s="131"/>
      <c r="K21" s="132"/>
      <c r="L21" s="127"/>
      <c r="M21" s="129"/>
      <c r="N21" s="130"/>
      <c r="O21" s="119"/>
      <c r="P21" s="121"/>
      <c r="Q21" s="122"/>
      <c r="R21" s="64" t="s">
        <v>182</v>
      </c>
      <c r="S21" s="105" t="s">
        <v>164</v>
      </c>
      <c r="T21" s="77"/>
      <c r="U21" s="65" t="s">
        <v>89</v>
      </c>
      <c r="V21" s="103" t="s">
        <v>124</v>
      </c>
      <c r="W21" s="40" t="s">
        <v>195</v>
      </c>
      <c r="X21" s="87" t="s">
        <v>37</v>
      </c>
      <c r="Y21" s="88" t="str">
        <f t="shared" si="0"/>
        <v/>
      </c>
      <c r="Z21" s="77"/>
      <c r="AA21" s="65"/>
      <c r="AB21" s="92"/>
      <c r="AC21" s="54"/>
      <c r="AD21" s="54"/>
      <c r="AE21" s="87"/>
      <c r="AF21" s="100" t="str">
        <f t="shared" si="1"/>
        <v/>
      </c>
      <c r="AG21" s="77"/>
      <c r="AH21" s="20"/>
      <c r="AI21" s="21"/>
      <c r="AJ21" s="35"/>
      <c r="AK21" s="43"/>
      <c r="AL21" s="44"/>
    </row>
    <row r="22" spans="3:38" ht="15" customHeight="1" x14ac:dyDescent="0.35">
      <c r="C22" s="133"/>
      <c r="D22" s="124"/>
      <c r="E22" s="124"/>
      <c r="F22" s="138"/>
      <c r="G22" s="125"/>
      <c r="H22" s="123"/>
      <c r="I22" s="126"/>
      <c r="J22" s="131"/>
      <c r="K22" s="132"/>
      <c r="L22" s="127"/>
      <c r="M22" s="129"/>
      <c r="N22" s="130"/>
      <c r="O22" s="119"/>
      <c r="P22" s="121"/>
      <c r="Q22" s="122"/>
      <c r="R22" s="61"/>
      <c r="S22" s="105"/>
      <c r="T22" s="77"/>
      <c r="U22" s="65"/>
      <c r="V22" s="103"/>
      <c r="W22" s="40"/>
      <c r="X22" s="87"/>
      <c r="Y22" s="88" t="str">
        <f t="shared" si="0"/>
        <v/>
      </c>
      <c r="Z22" s="77"/>
      <c r="AA22" s="65"/>
      <c r="AB22" s="92"/>
      <c r="AC22" s="54"/>
      <c r="AD22" s="54"/>
      <c r="AE22" s="87"/>
      <c r="AF22" s="100" t="str">
        <f t="shared" si="1"/>
        <v/>
      </c>
      <c r="AG22" s="77"/>
      <c r="AH22" s="20"/>
      <c r="AI22" s="21"/>
      <c r="AJ22" s="35"/>
      <c r="AK22" s="43"/>
      <c r="AL22" s="44"/>
    </row>
    <row r="23" spans="3:38" ht="15" customHeight="1" x14ac:dyDescent="0.35">
      <c r="C23" s="133"/>
      <c r="D23" s="124"/>
      <c r="E23" s="124"/>
      <c r="F23" s="138"/>
      <c r="G23" s="125"/>
      <c r="H23" s="123"/>
      <c r="I23" s="126"/>
      <c r="J23" s="131"/>
      <c r="K23" s="132"/>
      <c r="L23" s="127"/>
      <c r="M23" s="129"/>
      <c r="N23" s="130"/>
      <c r="O23" s="120"/>
      <c r="P23" s="121"/>
      <c r="Q23" s="122"/>
      <c r="R23" s="61"/>
      <c r="S23" s="105"/>
      <c r="T23" s="77"/>
      <c r="U23" s="65"/>
      <c r="V23" s="103"/>
      <c r="W23" s="40"/>
      <c r="X23" s="87"/>
      <c r="Y23" s="88" t="str">
        <f t="shared" si="0"/>
        <v/>
      </c>
      <c r="Z23" s="77"/>
      <c r="AA23" s="65"/>
      <c r="AB23" s="92"/>
      <c r="AC23" s="54"/>
      <c r="AD23" s="54"/>
      <c r="AE23" s="87"/>
      <c r="AF23" s="100" t="str">
        <f t="shared" si="1"/>
        <v/>
      </c>
      <c r="AG23" s="77"/>
      <c r="AH23" s="20"/>
      <c r="AI23" s="21"/>
      <c r="AJ23" s="35"/>
      <c r="AK23" s="43"/>
      <c r="AL23" s="44"/>
    </row>
    <row r="24" spans="3:38" ht="15" customHeight="1" x14ac:dyDescent="0.35">
      <c r="C24" s="139">
        <v>4</v>
      </c>
      <c r="D24" s="124">
        <v>1</v>
      </c>
      <c r="E24" s="124" t="s">
        <v>27</v>
      </c>
      <c r="F24" s="137" t="s">
        <v>170</v>
      </c>
      <c r="G24" s="125" t="s">
        <v>144</v>
      </c>
      <c r="H24" s="123" t="s">
        <v>24</v>
      </c>
      <c r="I24" s="126" t="s">
        <v>25</v>
      </c>
      <c r="J24" s="131">
        <v>3</v>
      </c>
      <c r="K24" s="132">
        <v>66</v>
      </c>
      <c r="L24" s="127">
        <v>66</v>
      </c>
      <c r="M24" s="129">
        <v>0</v>
      </c>
      <c r="N24" s="130">
        <v>12</v>
      </c>
      <c r="O24" s="118">
        <f t="shared" ref="O24" si="4">SUM(M24:N28)</f>
        <v>12</v>
      </c>
      <c r="P24" s="121">
        <f t="shared" ref="P24" si="5">K24+L24+O24</f>
        <v>144</v>
      </c>
      <c r="Q24" s="122" t="s">
        <v>26</v>
      </c>
      <c r="R24" s="64" t="s">
        <v>183</v>
      </c>
      <c r="S24" s="105" t="s">
        <v>166</v>
      </c>
      <c r="T24" s="77"/>
      <c r="U24" s="65" t="s">
        <v>89</v>
      </c>
      <c r="V24" s="103" t="s">
        <v>118</v>
      </c>
      <c r="W24" s="40" t="s">
        <v>195</v>
      </c>
      <c r="X24" s="87" t="s">
        <v>37</v>
      </c>
      <c r="Y24" s="88" t="str">
        <f t="shared" si="0"/>
        <v/>
      </c>
      <c r="Z24" s="77"/>
      <c r="AA24" s="65"/>
      <c r="AB24" s="92"/>
      <c r="AC24" s="54"/>
      <c r="AD24" s="54"/>
      <c r="AE24" s="87"/>
      <c r="AF24" s="100" t="str">
        <f t="shared" si="1"/>
        <v/>
      </c>
      <c r="AG24" s="77"/>
      <c r="AH24" s="20"/>
      <c r="AI24" s="21"/>
      <c r="AJ24" s="35"/>
      <c r="AK24" s="43"/>
      <c r="AL24" s="44"/>
    </row>
    <row r="25" spans="3:38" ht="15" customHeight="1" x14ac:dyDescent="0.35">
      <c r="C25" s="139"/>
      <c r="D25" s="124"/>
      <c r="E25" s="124"/>
      <c r="F25" s="138"/>
      <c r="G25" s="125"/>
      <c r="H25" s="123"/>
      <c r="I25" s="126"/>
      <c r="J25" s="131"/>
      <c r="K25" s="132"/>
      <c r="L25" s="127"/>
      <c r="M25" s="129"/>
      <c r="N25" s="130"/>
      <c r="O25" s="119"/>
      <c r="P25" s="121"/>
      <c r="Q25" s="122"/>
      <c r="R25" s="64" t="s">
        <v>184</v>
      </c>
      <c r="S25" s="107" t="s">
        <v>166</v>
      </c>
      <c r="T25" s="79"/>
      <c r="U25" s="65" t="s">
        <v>89</v>
      </c>
      <c r="V25" s="103" t="s">
        <v>126</v>
      </c>
      <c r="W25" s="40" t="s">
        <v>195</v>
      </c>
      <c r="X25" s="87" t="s">
        <v>37</v>
      </c>
      <c r="Y25" s="88" t="str">
        <f t="shared" si="0"/>
        <v/>
      </c>
      <c r="Z25" s="79"/>
      <c r="AA25" s="65"/>
      <c r="AB25" s="92"/>
      <c r="AC25" s="56"/>
      <c r="AD25" s="56"/>
      <c r="AE25" s="87"/>
      <c r="AF25" s="100" t="str">
        <f t="shared" si="1"/>
        <v/>
      </c>
      <c r="AG25" s="79"/>
      <c r="AH25" s="20"/>
      <c r="AI25" s="21"/>
      <c r="AJ25" s="35"/>
      <c r="AK25" s="43"/>
      <c r="AL25" s="44"/>
    </row>
    <row r="26" spans="3:38" ht="15" customHeight="1" x14ac:dyDescent="0.35">
      <c r="C26" s="139"/>
      <c r="D26" s="124"/>
      <c r="E26" s="124"/>
      <c r="F26" s="138"/>
      <c r="G26" s="125"/>
      <c r="H26" s="123"/>
      <c r="I26" s="126"/>
      <c r="J26" s="131"/>
      <c r="K26" s="132"/>
      <c r="L26" s="127"/>
      <c r="M26" s="129"/>
      <c r="N26" s="130"/>
      <c r="O26" s="119"/>
      <c r="P26" s="121"/>
      <c r="Q26" s="122"/>
      <c r="R26" s="64" t="s">
        <v>185</v>
      </c>
      <c r="S26" s="105" t="s">
        <v>164</v>
      </c>
      <c r="T26" s="77"/>
      <c r="U26" s="65" t="s">
        <v>89</v>
      </c>
      <c r="V26" s="103" t="s">
        <v>124</v>
      </c>
      <c r="W26" s="40" t="s">
        <v>195</v>
      </c>
      <c r="X26" s="87" t="s">
        <v>37</v>
      </c>
      <c r="Y26" s="88" t="str">
        <f t="shared" si="0"/>
        <v/>
      </c>
      <c r="Z26" s="77"/>
      <c r="AA26" s="65"/>
      <c r="AB26" s="92"/>
      <c r="AC26" s="54"/>
      <c r="AD26" s="54"/>
      <c r="AE26" s="87"/>
      <c r="AF26" s="100" t="str">
        <f t="shared" si="1"/>
        <v/>
      </c>
      <c r="AG26" s="77"/>
      <c r="AH26" s="20"/>
      <c r="AI26" s="21"/>
      <c r="AJ26" s="35"/>
      <c r="AK26" s="43"/>
      <c r="AL26" s="44"/>
    </row>
    <row r="27" spans="3:38" ht="15" customHeight="1" x14ac:dyDescent="0.35">
      <c r="C27" s="139"/>
      <c r="D27" s="124"/>
      <c r="E27" s="124"/>
      <c r="F27" s="138"/>
      <c r="G27" s="125"/>
      <c r="H27" s="123"/>
      <c r="I27" s="126"/>
      <c r="J27" s="131"/>
      <c r="K27" s="132"/>
      <c r="L27" s="127"/>
      <c r="M27" s="129"/>
      <c r="N27" s="130"/>
      <c r="O27" s="119"/>
      <c r="P27" s="121"/>
      <c r="Q27" s="122"/>
      <c r="R27" s="40"/>
      <c r="S27" s="105"/>
      <c r="T27" s="80"/>
      <c r="U27" s="65"/>
      <c r="V27" s="69"/>
      <c r="W27" s="40"/>
      <c r="X27" s="87"/>
      <c r="Y27" s="88" t="str">
        <f t="shared" si="0"/>
        <v/>
      </c>
      <c r="Z27" s="80"/>
      <c r="AA27" s="65"/>
      <c r="AB27" s="92"/>
      <c r="AC27" s="69"/>
      <c r="AD27" s="69"/>
      <c r="AE27" s="87"/>
      <c r="AF27" s="100" t="str">
        <f t="shared" si="1"/>
        <v/>
      </c>
      <c r="AG27" s="80"/>
      <c r="AI27" s="21"/>
      <c r="AJ27" s="35"/>
      <c r="AK27" s="43"/>
      <c r="AL27" s="44"/>
    </row>
    <row r="28" spans="3:38" ht="15" customHeight="1" x14ac:dyDescent="0.35">
      <c r="C28" s="139"/>
      <c r="D28" s="124"/>
      <c r="E28" s="124"/>
      <c r="F28" s="138"/>
      <c r="G28" s="125"/>
      <c r="H28" s="123"/>
      <c r="I28" s="126"/>
      <c r="J28" s="131"/>
      <c r="K28" s="132"/>
      <c r="L28" s="127"/>
      <c r="M28" s="129"/>
      <c r="N28" s="130"/>
      <c r="O28" s="120"/>
      <c r="P28" s="121"/>
      <c r="Q28" s="122"/>
      <c r="R28" s="40"/>
      <c r="S28" s="105"/>
      <c r="T28" s="77"/>
      <c r="U28" s="65"/>
      <c r="V28" s="103"/>
      <c r="W28" s="40"/>
      <c r="X28" s="87"/>
      <c r="Y28" s="88" t="str">
        <f t="shared" si="0"/>
        <v/>
      </c>
      <c r="Z28" s="77"/>
      <c r="AA28" s="65"/>
      <c r="AB28" s="92"/>
      <c r="AC28" s="54"/>
      <c r="AD28" s="54"/>
      <c r="AE28" s="87"/>
      <c r="AF28" s="100" t="str">
        <f t="shared" si="1"/>
        <v/>
      </c>
      <c r="AG28" s="77"/>
      <c r="AH28" s="20"/>
      <c r="AI28" s="21"/>
      <c r="AJ28" s="35"/>
      <c r="AK28" s="43"/>
      <c r="AL28" s="44"/>
    </row>
    <row r="29" spans="3:38" ht="15" customHeight="1" x14ac:dyDescent="0.35">
      <c r="C29" s="133">
        <v>5</v>
      </c>
      <c r="D29" s="124">
        <v>1</v>
      </c>
      <c r="E29" s="124" t="s">
        <v>27</v>
      </c>
      <c r="F29" s="137" t="s">
        <v>174</v>
      </c>
      <c r="G29" s="125" t="s">
        <v>139</v>
      </c>
      <c r="H29" s="123" t="s">
        <v>24</v>
      </c>
      <c r="I29" s="126" t="s">
        <v>25</v>
      </c>
      <c r="J29" s="131">
        <v>3</v>
      </c>
      <c r="K29" s="132">
        <v>79</v>
      </c>
      <c r="L29" s="127">
        <v>53</v>
      </c>
      <c r="M29" s="129">
        <v>0</v>
      </c>
      <c r="N29" s="130">
        <v>12</v>
      </c>
      <c r="O29" s="118">
        <f t="shared" ref="O29" si="6">SUM(M29:N33)</f>
        <v>12</v>
      </c>
      <c r="P29" s="121">
        <f t="shared" ref="P29" si="7">K29+L29+O29</f>
        <v>144</v>
      </c>
      <c r="Q29" s="122" t="s">
        <v>102</v>
      </c>
      <c r="R29" s="64" t="s">
        <v>215</v>
      </c>
      <c r="S29" s="105"/>
      <c r="T29" s="77"/>
      <c r="U29" s="65"/>
      <c r="V29" s="103"/>
      <c r="W29" s="40"/>
      <c r="X29" s="87"/>
      <c r="Y29" s="88" t="str">
        <f t="shared" si="0"/>
        <v/>
      </c>
      <c r="Z29" s="77"/>
      <c r="AA29" s="65"/>
      <c r="AB29" s="92"/>
      <c r="AC29" s="54"/>
      <c r="AD29" s="54"/>
      <c r="AE29" s="87"/>
      <c r="AF29" s="100" t="str">
        <f t="shared" si="1"/>
        <v/>
      </c>
      <c r="AG29" s="77"/>
      <c r="AH29" s="20"/>
      <c r="AI29" s="21"/>
      <c r="AJ29" s="35"/>
      <c r="AK29" s="43"/>
      <c r="AL29" s="44"/>
    </row>
    <row r="30" spans="3:38" ht="15" customHeight="1" x14ac:dyDescent="0.35">
      <c r="C30" s="133"/>
      <c r="D30" s="124"/>
      <c r="E30" s="124"/>
      <c r="F30" s="138"/>
      <c r="G30" s="125"/>
      <c r="H30" s="123"/>
      <c r="I30" s="126"/>
      <c r="J30" s="131"/>
      <c r="K30" s="132"/>
      <c r="L30" s="127"/>
      <c r="M30" s="129"/>
      <c r="N30" s="130"/>
      <c r="O30" s="119"/>
      <c r="P30" s="121"/>
      <c r="Q30" s="122"/>
      <c r="R30" s="64" t="s">
        <v>216</v>
      </c>
      <c r="S30" s="105"/>
      <c r="T30" s="77"/>
      <c r="U30" s="65"/>
      <c r="V30" s="103"/>
      <c r="W30" s="40"/>
      <c r="X30" s="87"/>
      <c r="Y30" s="88" t="str">
        <f t="shared" si="0"/>
        <v/>
      </c>
      <c r="Z30" s="77"/>
      <c r="AA30" s="65"/>
      <c r="AB30" s="92"/>
      <c r="AC30" s="54"/>
      <c r="AD30" s="54"/>
      <c r="AE30" s="87"/>
      <c r="AF30" s="100" t="str">
        <f t="shared" si="1"/>
        <v/>
      </c>
      <c r="AG30" s="77"/>
      <c r="AH30" s="20"/>
      <c r="AI30" s="21"/>
      <c r="AJ30" s="35"/>
      <c r="AK30" s="43"/>
      <c r="AL30" s="44"/>
    </row>
    <row r="31" spans="3:38" ht="15" customHeight="1" x14ac:dyDescent="0.35">
      <c r="C31" s="133"/>
      <c r="D31" s="124"/>
      <c r="E31" s="124"/>
      <c r="F31" s="138"/>
      <c r="G31" s="125"/>
      <c r="H31" s="123"/>
      <c r="I31" s="126"/>
      <c r="J31" s="131"/>
      <c r="K31" s="132"/>
      <c r="L31" s="127"/>
      <c r="M31" s="129"/>
      <c r="N31" s="130"/>
      <c r="O31" s="119"/>
      <c r="P31" s="121"/>
      <c r="Q31" s="122"/>
      <c r="R31" s="64" t="s">
        <v>217</v>
      </c>
      <c r="S31" s="105"/>
      <c r="T31" s="77"/>
      <c r="U31" s="65"/>
      <c r="V31" s="103"/>
      <c r="W31" s="40"/>
      <c r="X31" s="87"/>
      <c r="Y31" s="88" t="str">
        <f t="shared" si="0"/>
        <v/>
      </c>
      <c r="Z31" s="77"/>
      <c r="AA31" s="65"/>
      <c r="AB31" s="92"/>
      <c r="AC31" s="54"/>
      <c r="AD31" s="54"/>
      <c r="AE31" s="87"/>
      <c r="AF31" s="100" t="str">
        <f t="shared" si="1"/>
        <v/>
      </c>
      <c r="AG31" s="77"/>
      <c r="AH31" s="20"/>
      <c r="AI31" s="21"/>
      <c r="AJ31" s="35"/>
      <c r="AK31" s="43"/>
      <c r="AL31" s="44"/>
    </row>
    <row r="32" spans="3:38" ht="15" customHeight="1" x14ac:dyDescent="0.35">
      <c r="C32" s="133"/>
      <c r="D32" s="124"/>
      <c r="E32" s="124"/>
      <c r="F32" s="138"/>
      <c r="G32" s="125"/>
      <c r="H32" s="123"/>
      <c r="I32" s="126"/>
      <c r="J32" s="131"/>
      <c r="K32" s="132"/>
      <c r="L32" s="127"/>
      <c r="M32" s="129"/>
      <c r="N32" s="130"/>
      <c r="O32" s="119"/>
      <c r="P32" s="121"/>
      <c r="Q32" s="122"/>
      <c r="R32" s="40"/>
      <c r="S32" s="105"/>
      <c r="T32" s="77"/>
      <c r="U32" s="65"/>
      <c r="V32" s="103"/>
      <c r="W32" s="40"/>
      <c r="X32" s="87"/>
      <c r="Y32" s="88" t="str">
        <f t="shared" si="0"/>
        <v/>
      </c>
      <c r="Z32" s="77"/>
      <c r="AA32" s="65"/>
      <c r="AB32" s="92"/>
      <c r="AC32" s="54"/>
      <c r="AD32" s="54"/>
      <c r="AE32" s="87"/>
      <c r="AF32" s="100" t="str">
        <f t="shared" si="1"/>
        <v/>
      </c>
      <c r="AG32" s="77"/>
      <c r="AH32" s="20"/>
      <c r="AI32" s="21"/>
      <c r="AJ32" s="35"/>
      <c r="AK32" s="43"/>
      <c r="AL32" s="44"/>
    </row>
    <row r="33" spans="3:38" ht="15" customHeight="1" x14ac:dyDescent="0.35">
      <c r="C33" s="133"/>
      <c r="D33" s="124"/>
      <c r="E33" s="124"/>
      <c r="F33" s="138"/>
      <c r="G33" s="125"/>
      <c r="H33" s="123"/>
      <c r="I33" s="126"/>
      <c r="J33" s="131"/>
      <c r="K33" s="132"/>
      <c r="L33" s="127"/>
      <c r="M33" s="129"/>
      <c r="N33" s="130"/>
      <c r="O33" s="120"/>
      <c r="P33" s="121"/>
      <c r="Q33" s="122"/>
      <c r="R33" s="40"/>
      <c r="S33" s="105"/>
      <c r="T33" s="77"/>
      <c r="U33" s="65"/>
      <c r="V33" s="103"/>
      <c r="W33" s="40"/>
      <c r="X33" s="87"/>
      <c r="Y33" s="88" t="str">
        <f t="shared" si="0"/>
        <v/>
      </c>
      <c r="Z33" s="77"/>
      <c r="AA33" s="65"/>
      <c r="AB33" s="92"/>
      <c r="AC33" s="54"/>
      <c r="AD33" s="54"/>
      <c r="AE33" s="87"/>
      <c r="AF33" s="100" t="str">
        <f t="shared" si="1"/>
        <v/>
      </c>
      <c r="AG33" s="77"/>
      <c r="AH33" s="20"/>
      <c r="AI33" s="21"/>
      <c r="AJ33" s="35"/>
      <c r="AK33" s="43"/>
      <c r="AL33" s="44"/>
    </row>
    <row r="34" spans="3:38" ht="15" customHeight="1" x14ac:dyDescent="0.35">
      <c r="C34" s="133">
        <v>6</v>
      </c>
      <c r="D34" s="124">
        <v>2</v>
      </c>
      <c r="E34" s="124" t="s">
        <v>27</v>
      </c>
      <c r="F34" s="137" t="s">
        <v>171</v>
      </c>
      <c r="G34" s="134" t="s">
        <v>145</v>
      </c>
      <c r="H34" s="123" t="s">
        <v>24</v>
      </c>
      <c r="I34" s="126" t="s">
        <v>25</v>
      </c>
      <c r="J34" s="131">
        <v>3</v>
      </c>
      <c r="K34" s="132">
        <v>66</v>
      </c>
      <c r="L34" s="127">
        <v>66</v>
      </c>
      <c r="M34" s="129">
        <v>0</v>
      </c>
      <c r="N34" s="130">
        <v>12</v>
      </c>
      <c r="O34" s="118">
        <f t="shared" ref="O34" si="8">SUM(M34:N38)</f>
        <v>12</v>
      </c>
      <c r="P34" s="121">
        <f t="shared" ref="P34" si="9">K34+L34+O34</f>
        <v>144</v>
      </c>
      <c r="Q34" s="122" t="s">
        <v>26</v>
      </c>
      <c r="R34" s="64" t="s">
        <v>204</v>
      </c>
      <c r="S34" s="105" t="s">
        <v>164</v>
      </c>
      <c r="T34" s="77"/>
      <c r="U34" s="65" t="s">
        <v>89</v>
      </c>
      <c r="V34" s="103" t="s">
        <v>118</v>
      </c>
      <c r="W34" s="40" t="s">
        <v>195</v>
      </c>
      <c r="X34" s="87" t="s">
        <v>37</v>
      </c>
      <c r="Y34" s="88" t="str">
        <f t="shared" si="0"/>
        <v/>
      </c>
      <c r="Z34" s="77"/>
      <c r="AA34" s="65"/>
      <c r="AB34" s="92"/>
      <c r="AC34" s="54"/>
      <c r="AD34" s="54"/>
      <c r="AE34" s="87"/>
      <c r="AF34" s="100" t="str">
        <f t="shared" si="1"/>
        <v/>
      </c>
      <c r="AG34" s="77"/>
      <c r="AH34" s="20"/>
      <c r="AI34" s="21"/>
      <c r="AJ34" s="35"/>
      <c r="AK34" s="43"/>
      <c r="AL34" s="44"/>
    </row>
    <row r="35" spans="3:38" ht="15" customHeight="1" x14ac:dyDescent="0.35">
      <c r="C35" s="133"/>
      <c r="D35" s="124"/>
      <c r="E35" s="124"/>
      <c r="F35" s="138"/>
      <c r="G35" s="135"/>
      <c r="H35" s="123"/>
      <c r="I35" s="126"/>
      <c r="J35" s="131"/>
      <c r="K35" s="132"/>
      <c r="L35" s="127"/>
      <c r="M35" s="129"/>
      <c r="N35" s="130"/>
      <c r="O35" s="119"/>
      <c r="P35" s="121"/>
      <c r="Q35" s="122"/>
      <c r="R35" s="64" t="s">
        <v>206</v>
      </c>
      <c r="S35" s="105" t="s">
        <v>163</v>
      </c>
      <c r="T35" s="77"/>
      <c r="U35" s="65" t="s">
        <v>89</v>
      </c>
      <c r="V35" s="103" t="s">
        <v>126</v>
      </c>
      <c r="W35" s="40" t="s">
        <v>195</v>
      </c>
      <c r="X35" s="87" t="s">
        <v>37</v>
      </c>
      <c r="Y35" s="88" t="str">
        <f t="shared" si="0"/>
        <v/>
      </c>
      <c r="Z35" s="77"/>
      <c r="AA35" s="65"/>
      <c r="AB35" s="92"/>
      <c r="AC35" s="54"/>
      <c r="AD35" s="54"/>
      <c r="AE35" s="87"/>
      <c r="AF35" s="100" t="str">
        <f t="shared" si="1"/>
        <v/>
      </c>
      <c r="AG35" s="77"/>
      <c r="AH35" s="20"/>
      <c r="AI35" s="21"/>
      <c r="AJ35" s="35"/>
      <c r="AK35" s="43"/>
      <c r="AL35" s="44"/>
    </row>
    <row r="36" spans="3:38" ht="15" customHeight="1" x14ac:dyDescent="0.35">
      <c r="C36" s="133"/>
      <c r="D36" s="124"/>
      <c r="E36" s="124"/>
      <c r="F36" s="138"/>
      <c r="G36" s="135"/>
      <c r="H36" s="123"/>
      <c r="I36" s="126"/>
      <c r="J36" s="131"/>
      <c r="K36" s="132"/>
      <c r="L36" s="127"/>
      <c r="M36" s="129"/>
      <c r="N36" s="130"/>
      <c r="O36" s="119"/>
      <c r="P36" s="121"/>
      <c r="Q36" s="122"/>
      <c r="R36" s="64" t="s">
        <v>205</v>
      </c>
      <c r="S36" s="108" t="s">
        <v>165</v>
      </c>
      <c r="T36" s="81"/>
      <c r="U36" s="65" t="s">
        <v>89</v>
      </c>
      <c r="V36" s="110" t="s">
        <v>126</v>
      </c>
      <c r="W36" s="40" t="s">
        <v>195</v>
      </c>
      <c r="X36" s="87" t="s">
        <v>37</v>
      </c>
      <c r="Y36" s="88" t="str">
        <f t="shared" si="0"/>
        <v/>
      </c>
      <c r="Z36" s="81"/>
      <c r="AA36" s="65"/>
      <c r="AB36" s="92"/>
      <c r="AC36" s="57"/>
      <c r="AD36" s="57"/>
      <c r="AE36" s="87"/>
      <c r="AF36" s="100" t="str">
        <f t="shared" si="1"/>
        <v/>
      </c>
      <c r="AG36" s="81"/>
      <c r="AH36" s="48"/>
      <c r="AI36" s="49"/>
      <c r="AJ36" s="35"/>
      <c r="AK36" s="43"/>
      <c r="AL36" s="44"/>
    </row>
    <row r="37" spans="3:38" ht="15" customHeight="1" x14ac:dyDescent="0.35">
      <c r="C37" s="133"/>
      <c r="D37" s="124"/>
      <c r="E37" s="124"/>
      <c r="F37" s="138"/>
      <c r="G37" s="135"/>
      <c r="H37" s="123"/>
      <c r="I37" s="126"/>
      <c r="J37" s="131"/>
      <c r="K37" s="132"/>
      <c r="L37" s="127"/>
      <c r="M37" s="129"/>
      <c r="N37" s="130"/>
      <c r="O37" s="119"/>
      <c r="P37" s="121"/>
      <c r="Q37" s="122"/>
      <c r="R37" s="62"/>
      <c r="S37" s="58"/>
      <c r="T37" s="82"/>
      <c r="U37" s="65"/>
      <c r="V37" s="111"/>
      <c r="W37" s="9"/>
      <c r="X37" s="87"/>
      <c r="Y37" s="88" t="str">
        <f t="shared" si="0"/>
        <v/>
      </c>
      <c r="Z37" s="82"/>
      <c r="AA37" s="65"/>
      <c r="AB37" s="92"/>
      <c r="AC37" s="58"/>
      <c r="AD37" s="58"/>
      <c r="AE37" s="87"/>
      <c r="AF37" s="100" t="str">
        <f t="shared" si="1"/>
        <v/>
      </c>
      <c r="AG37" s="82"/>
      <c r="AH37" s="9"/>
      <c r="AI37" s="21"/>
      <c r="AJ37" s="35"/>
      <c r="AK37" s="43"/>
      <c r="AL37" s="44"/>
    </row>
    <row r="38" spans="3:38" ht="15" customHeight="1" x14ac:dyDescent="0.35">
      <c r="C38" s="133"/>
      <c r="D38" s="124"/>
      <c r="E38" s="124"/>
      <c r="F38" s="138"/>
      <c r="G38" s="136"/>
      <c r="H38" s="123"/>
      <c r="I38" s="126"/>
      <c r="J38" s="131"/>
      <c r="K38" s="132"/>
      <c r="L38" s="127"/>
      <c r="M38" s="129"/>
      <c r="N38" s="130"/>
      <c r="O38" s="120"/>
      <c r="P38" s="121"/>
      <c r="Q38" s="122"/>
      <c r="R38" s="40"/>
      <c r="S38" s="105"/>
      <c r="T38" s="77"/>
      <c r="U38" s="65"/>
      <c r="V38" s="103"/>
      <c r="W38" s="40"/>
      <c r="X38" s="87"/>
      <c r="Y38" s="88" t="str">
        <f t="shared" si="0"/>
        <v/>
      </c>
      <c r="Z38" s="77"/>
      <c r="AA38" s="65"/>
      <c r="AB38" s="92"/>
      <c r="AC38" s="54"/>
      <c r="AD38" s="54"/>
      <c r="AE38" s="87"/>
      <c r="AF38" s="100" t="str">
        <f t="shared" si="1"/>
        <v/>
      </c>
      <c r="AG38" s="77"/>
      <c r="AH38" s="20"/>
      <c r="AI38" s="21"/>
      <c r="AJ38" s="35"/>
      <c r="AK38" s="43"/>
      <c r="AL38" s="44"/>
    </row>
    <row r="39" spans="3:38" ht="15" customHeight="1" x14ac:dyDescent="0.35">
      <c r="C39" s="139">
        <v>7</v>
      </c>
      <c r="D39" s="124">
        <v>2</v>
      </c>
      <c r="E39" s="124" t="s">
        <v>28</v>
      </c>
      <c r="F39" s="137" t="s">
        <v>172</v>
      </c>
      <c r="G39" s="125" t="s">
        <v>146</v>
      </c>
      <c r="H39" s="123" t="s">
        <v>207</v>
      </c>
      <c r="I39" s="126" t="s">
        <v>25</v>
      </c>
      <c r="J39" s="131">
        <v>3</v>
      </c>
      <c r="K39" s="132">
        <v>44</v>
      </c>
      <c r="L39" s="127">
        <v>64</v>
      </c>
      <c r="M39" s="129">
        <v>12</v>
      </c>
      <c r="N39" s="130">
        <v>24</v>
      </c>
      <c r="O39" s="118">
        <f>SUM(M39:N43)</f>
        <v>36</v>
      </c>
      <c r="P39" s="121">
        <f t="shared" ref="P39" si="10">K39+L39+O39</f>
        <v>144</v>
      </c>
      <c r="Q39" s="122" t="s">
        <v>26</v>
      </c>
      <c r="R39" s="64" t="s">
        <v>186</v>
      </c>
      <c r="S39" s="105" t="s">
        <v>166</v>
      </c>
      <c r="T39" s="77"/>
      <c r="U39" s="65" t="s">
        <v>89</v>
      </c>
      <c r="V39" s="103" t="s">
        <v>118</v>
      </c>
      <c r="W39" s="40" t="s">
        <v>195</v>
      </c>
      <c r="X39" s="87" t="s">
        <v>37</v>
      </c>
      <c r="Y39" s="88" t="str">
        <f t="shared" si="0"/>
        <v/>
      </c>
      <c r="Z39" s="77"/>
      <c r="AA39" s="65"/>
      <c r="AB39" s="92"/>
      <c r="AC39" s="54"/>
      <c r="AD39" s="54"/>
      <c r="AE39" s="87"/>
      <c r="AF39" s="100"/>
      <c r="AG39" s="77"/>
      <c r="AH39" s="20"/>
      <c r="AI39" s="21"/>
      <c r="AJ39" s="35"/>
      <c r="AK39" s="43"/>
      <c r="AL39" s="44"/>
    </row>
    <row r="40" spans="3:38" ht="15" customHeight="1" x14ac:dyDescent="0.35">
      <c r="C40" s="139"/>
      <c r="D40" s="124"/>
      <c r="E40" s="124"/>
      <c r="F40" s="138"/>
      <c r="G40" s="125"/>
      <c r="H40" s="123"/>
      <c r="I40" s="126"/>
      <c r="J40" s="131"/>
      <c r="K40" s="132"/>
      <c r="L40" s="127"/>
      <c r="M40" s="129"/>
      <c r="N40" s="130"/>
      <c r="O40" s="119"/>
      <c r="P40" s="121"/>
      <c r="Q40" s="122"/>
      <c r="R40" s="64" t="s">
        <v>187</v>
      </c>
      <c r="S40" s="105" t="s">
        <v>164</v>
      </c>
      <c r="T40" s="77"/>
      <c r="U40" s="65" t="s">
        <v>196</v>
      </c>
      <c r="V40" s="103" t="s">
        <v>126</v>
      </c>
      <c r="W40" s="40" t="s">
        <v>198</v>
      </c>
      <c r="X40" s="87" t="s">
        <v>37</v>
      </c>
      <c r="Y40" s="88" t="str">
        <f t="shared" si="0"/>
        <v>APLICA</v>
      </c>
      <c r="Z40" s="77"/>
      <c r="AA40" s="65" t="s">
        <v>92</v>
      </c>
      <c r="AB40" s="92" t="s">
        <v>210</v>
      </c>
      <c r="AC40" s="54" t="s">
        <v>126</v>
      </c>
      <c r="AD40" s="54" t="s">
        <v>208</v>
      </c>
      <c r="AE40" s="87" t="s">
        <v>37</v>
      </c>
      <c r="AF40" s="100" t="str">
        <f t="shared" si="1"/>
        <v>APLICA</v>
      </c>
      <c r="AG40" s="77"/>
      <c r="AH40" s="20"/>
      <c r="AI40" s="21"/>
      <c r="AJ40" s="35"/>
      <c r="AK40" s="43"/>
      <c r="AL40" s="44"/>
    </row>
    <row r="41" spans="3:38" ht="15" customHeight="1" x14ac:dyDescent="0.35">
      <c r="C41" s="139"/>
      <c r="D41" s="124"/>
      <c r="E41" s="124"/>
      <c r="F41" s="138"/>
      <c r="G41" s="125"/>
      <c r="H41" s="123"/>
      <c r="I41" s="126"/>
      <c r="J41" s="131"/>
      <c r="K41" s="132"/>
      <c r="L41" s="127"/>
      <c r="M41" s="129"/>
      <c r="N41" s="130"/>
      <c r="O41" s="119"/>
      <c r="P41" s="121"/>
      <c r="Q41" s="122"/>
      <c r="R41" s="64" t="s">
        <v>188</v>
      </c>
      <c r="S41" s="105" t="s">
        <v>166</v>
      </c>
      <c r="T41" s="77"/>
      <c r="U41" s="65" t="s">
        <v>89</v>
      </c>
      <c r="V41" s="103" t="s">
        <v>124</v>
      </c>
      <c r="W41" s="40" t="s">
        <v>195</v>
      </c>
      <c r="X41" s="87" t="s">
        <v>37</v>
      </c>
      <c r="Y41" s="88" t="str">
        <f t="shared" ref="Y41:Y57" si="11">IF(U41="Assessment RP","APLICA","")</f>
        <v/>
      </c>
      <c r="Z41" s="77"/>
      <c r="AA41" s="65"/>
      <c r="AB41" s="92"/>
      <c r="AC41" s="54"/>
      <c r="AD41" s="54"/>
      <c r="AE41" s="87"/>
      <c r="AF41" s="100" t="str">
        <f t="shared" ref="AF41:AF57" si="12">IF(AA41="Assessment","APLICA","")</f>
        <v/>
      </c>
      <c r="AG41" s="77"/>
      <c r="AH41" s="20"/>
      <c r="AI41" s="21"/>
      <c r="AJ41" s="35"/>
      <c r="AK41" s="43"/>
      <c r="AL41" s="44"/>
    </row>
    <row r="42" spans="3:38" ht="15" customHeight="1" x14ac:dyDescent="0.35">
      <c r="C42" s="139"/>
      <c r="D42" s="124"/>
      <c r="E42" s="124"/>
      <c r="F42" s="138"/>
      <c r="G42" s="125"/>
      <c r="H42" s="123"/>
      <c r="I42" s="126"/>
      <c r="J42" s="131"/>
      <c r="K42" s="132"/>
      <c r="L42" s="127"/>
      <c r="M42" s="129"/>
      <c r="N42" s="130"/>
      <c r="O42" s="119"/>
      <c r="P42" s="121"/>
      <c r="Q42" s="122"/>
      <c r="R42" s="61"/>
      <c r="S42" s="105"/>
      <c r="T42" s="77"/>
      <c r="U42" s="65"/>
      <c r="V42" s="103"/>
      <c r="W42" s="40"/>
      <c r="X42" s="87"/>
      <c r="Y42" s="88" t="str">
        <f t="shared" si="11"/>
        <v/>
      </c>
      <c r="Z42" s="77"/>
      <c r="AA42" s="65"/>
      <c r="AB42" s="92"/>
      <c r="AC42" s="54"/>
      <c r="AD42" s="54"/>
      <c r="AE42" s="87"/>
      <c r="AF42" s="100" t="str">
        <f t="shared" si="12"/>
        <v/>
      </c>
      <c r="AG42" s="77"/>
      <c r="AH42" s="20"/>
      <c r="AI42" s="21"/>
      <c r="AJ42" s="35"/>
      <c r="AK42" s="43"/>
      <c r="AL42" s="44"/>
    </row>
    <row r="43" spans="3:38" ht="15" customHeight="1" x14ac:dyDescent="0.35">
      <c r="C43" s="139"/>
      <c r="D43" s="124"/>
      <c r="E43" s="124"/>
      <c r="F43" s="138"/>
      <c r="G43" s="125"/>
      <c r="H43" s="123"/>
      <c r="I43" s="126"/>
      <c r="J43" s="131"/>
      <c r="K43" s="132"/>
      <c r="L43" s="127"/>
      <c r="M43" s="129"/>
      <c r="N43" s="130"/>
      <c r="O43" s="120"/>
      <c r="P43" s="121"/>
      <c r="Q43" s="122"/>
      <c r="R43" s="61"/>
      <c r="S43" s="105"/>
      <c r="T43" s="77"/>
      <c r="U43" s="65"/>
      <c r="V43" s="103"/>
      <c r="W43" s="40"/>
      <c r="X43" s="87"/>
      <c r="Y43" s="88" t="str">
        <f t="shared" si="11"/>
        <v/>
      </c>
      <c r="Z43" s="77"/>
      <c r="AA43" s="65"/>
      <c r="AB43" s="92"/>
      <c r="AC43" s="54"/>
      <c r="AD43" s="54"/>
      <c r="AE43" s="87"/>
      <c r="AF43" s="100" t="str">
        <f t="shared" si="12"/>
        <v/>
      </c>
      <c r="AG43" s="77"/>
      <c r="AH43" s="20"/>
      <c r="AI43" s="21"/>
      <c r="AJ43" s="35"/>
      <c r="AK43" s="43"/>
      <c r="AL43" s="44"/>
    </row>
    <row r="44" spans="3:38" ht="15" customHeight="1" x14ac:dyDescent="0.35">
      <c r="C44" s="133">
        <v>8</v>
      </c>
      <c r="D44" s="124">
        <v>2</v>
      </c>
      <c r="E44" s="124" t="s">
        <v>28</v>
      </c>
      <c r="F44" s="137" t="s">
        <v>175</v>
      </c>
      <c r="G44" s="125" t="s">
        <v>147</v>
      </c>
      <c r="H44" s="123" t="s">
        <v>24</v>
      </c>
      <c r="I44" s="126" t="s">
        <v>25</v>
      </c>
      <c r="J44" s="131">
        <v>3</v>
      </c>
      <c r="K44" s="132">
        <v>66</v>
      </c>
      <c r="L44" s="127">
        <v>66</v>
      </c>
      <c r="M44" s="129">
        <v>0</v>
      </c>
      <c r="N44" s="130">
        <v>12</v>
      </c>
      <c r="O44" s="118">
        <f t="shared" ref="O44" si="13">SUM(M44:N48)</f>
        <v>12</v>
      </c>
      <c r="P44" s="121">
        <f t="shared" ref="P44" si="14">K44+L44+O44</f>
        <v>144</v>
      </c>
      <c r="Q44" s="122" t="s">
        <v>102</v>
      </c>
      <c r="R44" s="64" t="s">
        <v>189</v>
      </c>
      <c r="S44" s="105"/>
      <c r="T44" s="77"/>
      <c r="U44" s="65"/>
      <c r="V44" s="103"/>
      <c r="W44" s="40"/>
      <c r="X44" s="87"/>
      <c r="Y44" s="88" t="str">
        <f t="shared" si="11"/>
        <v/>
      </c>
      <c r="Z44" s="77"/>
      <c r="AA44" s="65"/>
      <c r="AB44" s="92"/>
      <c r="AC44" s="54"/>
      <c r="AD44" s="54"/>
      <c r="AE44" s="87"/>
      <c r="AF44" s="100" t="str">
        <f t="shared" si="12"/>
        <v/>
      </c>
      <c r="AG44" s="77"/>
      <c r="AH44" s="20"/>
      <c r="AI44" s="21"/>
      <c r="AJ44" s="35"/>
      <c r="AK44" s="43"/>
      <c r="AL44" s="44"/>
    </row>
    <row r="45" spans="3:38" ht="15" customHeight="1" x14ac:dyDescent="0.35">
      <c r="C45" s="133"/>
      <c r="D45" s="124"/>
      <c r="E45" s="124"/>
      <c r="F45" s="138"/>
      <c r="G45" s="125"/>
      <c r="H45" s="123"/>
      <c r="I45" s="126"/>
      <c r="J45" s="131"/>
      <c r="K45" s="132"/>
      <c r="L45" s="127"/>
      <c r="M45" s="129"/>
      <c r="N45" s="130"/>
      <c r="O45" s="119"/>
      <c r="P45" s="121"/>
      <c r="Q45" s="122"/>
      <c r="R45" s="64" t="s">
        <v>190</v>
      </c>
      <c r="S45" s="105"/>
      <c r="T45" s="77"/>
      <c r="U45" s="65"/>
      <c r="V45" s="103"/>
      <c r="W45" s="40"/>
      <c r="X45" s="87"/>
      <c r="Y45" s="88" t="str">
        <f t="shared" si="11"/>
        <v/>
      </c>
      <c r="Z45" s="77"/>
      <c r="AA45" s="65"/>
      <c r="AB45" s="92"/>
      <c r="AC45" s="54"/>
      <c r="AD45" s="54"/>
      <c r="AE45" s="87"/>
      <c r="AF45" s="100" t="str">
        <f t="shared" si="12"/>
        <v/>
      </c>
      <c r="AG45" s="77"/>
      <c r="AH45" s="20"/>
      <c r="AI45" s="21"/>
      <c r="AJ45" s="35"/>
      <c r="AK45" s="43"/>
      <c r="AL45" s="44"/>
    </row>
    <row r="46" spans="3:38" ht="15" customHeight="1" x14ac:dyDescent="0.35">
      <c r="C46" s="133"/>
      <c r="D46" s="124"/>
      <c r="E46" s="124"/>
      <c r="F46" s="138"/>
      <c r="G46" s="125"/>
      <c r="H46" s="123"/>
      <c r="I46" s="126"/>
      <c r="J46" s="131"/>
      <c r="K46" s="132"/>
      <c r="L46" s="127"/>
      <c r="M46" s="129"/>
      <c r="N46" s="130"/>
      <c r="O46" s="119"/>
      <c r="P46" s="121"/>
      <c r="Q46" s="122"/>
      <c r="R46" s="64" t="s">
        <v>191</v>
      </c>
      <c r="S46" s="105"/>
      <c r="T46" s="77"/>
      <c r="U46" s="65"/>
      <c r="V46" s="103"/>
      <c r="W46" s="40"/>
      <c r="X46" s="87"/>
      <c r="Y46" s="88" t="str">
        <f t="shared" si="11"/>
        <v/>
      </c>
      <c r="Z46" s="77"/>
      <c r="AA46" s="65"/>
      <c r="AB46" s="92"/>
      <c r="AC46" s="54"/>
      <c r="AD46" s="54"/>
      <c r="AE46" s="87"/>
      <c r="AF46" s="100" t="str">
        <f t="shared" si="12"/>
        <v/>
      </c>
      <c r="AG46" s="77"/>
      <c r="AH46" s="20"/>
      <c r="AI46" s="21"/>
      <c r="AJ46" s="35"/>
      <c r="AK46" s="43"/>
      <c r="AL46" s="44"/>
    </row>
    <row r="47" spans="3:38" ht="15" customHeight="1" x14ac:dyDescent="0.35">
      <c r="C47" s="133"/>
      <c r="D47" s="124"/>
      <c r="E47" s="124"/>
      <c r="F47" s="138"/>
      <c r="G47" s="125"/>
      <c r="H47" s="123"/>
      <c r="I47" s="126"/>
      <c r="J47" s="131"/>
      <c r="K47" s="132"/>
      <c r="L47" s="127"/>
      <c r="M47" s="129"/>
      <c r="N47" s="130"/>
      <c r="O47" s="119"/>
      <c r="P47" s="121"/>
      <c r="Q47" s="122"/>
      <c r="R47" s="40"/>
      <c r="S47" s="105"/>
      <c r="T47" s="77"/>
      <c r="U47" s="65"/>
      <c r="V47" s="103"/>
      <c r="W47" s="40"/>
      <c r="X47" s="87"/>
      <c r="Y47" s="88" t="str">
        <f t="shared" si="11"/>
        <v/>
      </c>
      <c r="Z47" s="77"/>
      <c r="AA47" s="65"/>
      <c r="AB47" s="92"/>
      <c r="AC47" s="54"/>
      <c r="AD47" s="54"/>
      <c r="AE47" s="87"/>
      <c r="AF47" s="100" t="str">
        <f t="shared" si="12"/>
        <v/>
      </c>
      <c r="AG47" s="77"/>
      <c r="AH47" s="20"/>
      <c r="AI47" s="21"/>
      <c r="AJ47" s="35"/>
      <c r="AK47" s="43"/>
      <c r="AL47" s="44"/>
    </row>
    <row r="48" spans="3:38" ht="15" customHeight="1" x14ac:dyDescent="0.35">
      <c r="C48" s="133"/>
      <c r="D48" s="124"/>
      <c r="E48" s="124"/>
      <c r="F48" s="138"/>
      <c r="G48" s="125"/>
      <c r="H48" s="123"/>
      <c r="I48" s="126"/>
      <c r="J48" s="131"/>
      <c r="K48" s="132"/>
      <c r="L48" s="127"/>
      <c r="M48" s="129"/>
      <c r="N48" s="130"/>
      <c r="O48" s="120"/>
      <c r="P48" s="121"/>
      <c r="Q48" s="122"/>
      <c r="R48" s="40"/>
      <c r="S48" s="105"/>
      <c r="T48" s="77"/>
      <c r="U48" s="65"/>
      <c r="V48" s="103"/>
      <c r="W48" s="40"/>
      <c r="X48" s="87"/>
      <c r="Y48" s="88" t="str">
        <f t="shared" si="11"/>
        <v/>
      </c>
      <c r="Z48" s="77"/>
      <c r="AA48" s="65"/>
      <c r="AB48" s="92"/>
      <c r="AC48" s="54"/>
      <c r="AD48" s="54"/>
      <c r="AE48" s="87"/>
      <c r="AF48" s="100" t="str">
        <f t="shared" si="12"/>
        <v/>
      </c>
      <c r="AG48" s="77"/>
      <c r="AH48" s="20"/>
      <c r="AI48" s="21"/>
      <c r="AJ48" s="35"/>
      <c r="AK48" s="43"/>
      <c r="AL48" s="44"/>
    </row>
    <row r="49" spans="3:38" ht="15" customHeight="1" x14ac:dyDescent="0.35">
      <c r="C49" s="133">
        <v>9</v>
      </c>
      <c r="D49" s="124">
        <v>2</v>
      </c>
      <c r="E49" s="124" t="s">
        <v>28</v>
      </c>
      <c r="F49" s="137" t="s">
        <v>173</v>
      </c>
      <c r="G49" s="125" t="s">
        <v>148</v>
      </c>
      <c r="H49" s="123" t="s">
        <v>24</v>
      </c>
      <c r="I49" s="126" t="s">
        <v>25</v>
      </c>
      <c r="J49" s="131">
        <v>3</v>
      </c>
      <c r="K49" s="132">
        <v>53</v>
      </c>
      <c r="L49" s="127">
        <v>79</v>
      </c>
      <c r="M49" s="129">
        <v>0</v>
      </c>
      <c r="N49" s="130">
        <v>12</v>
      </c>
      <c r="O49" s="118">
        <f t="shared" ref="O49" si="15">SUM(M49:N53)</f>
        <v>12</v>
      </c>
      <c r="P49" s="121">
        <f t="shared" ref="P49" si="16">K49+L49+O49</f>
        <v>144</v>
      </c>
      <c r="Q49" s="122" t="s">
        <v>26</v>
      </c>
      <c r="R49" s="64" t="s">
        <v>192</v>
      </c>
      <c r="S49" s="105" t="s">
        <v>163</v>
      </c>
      <c r="T49" s="77"/>
      <c r="U49" s="65" t="s">
        <v>196</v>
      </c>
      <c r="V49" s="103" t="s">
        <v>118</v>
      </c>
      <c r="W49" s="40" t="s">
        <v>197</v>
      </c>
      <c r="X49" s="87" t="s">
        <v>37</v>
      </c>
      <c r="Y49" s="88" t="str">
        <f t="shared" si="11"/>
        <v>APLICA</v>
      </c>
      <c r="Z49" s="77"/>
      <c r="AA49" s="65"/>
      <c r="AB49" s="92"/>
      <c r="AC49" s="54"/>
      <c r="AD49" s="54"/>
      <c r="AE49" s="87"/>
      <c r="AF49" s="100"/>
      <c r="AG49" s="77"/>
      <c r="AH49" s="20"/>
      <c r="AI49" s="21"/>
      <c r="AJ49" s="35"/>
      <c r="AK49" s="43"/>
      <c r="AL49" s="44"/>
    </row>
    <row r="50" spans="3:38" ht="15" customHeight="1" x14ac:dyDescent="0.35">
      <c r="C50" s="133"/>
      <c r="D50" s="124"/>
      <c r="E50" s="124"/>
      <c r="F50" s="138"/>
      <c r="G50" s="125"/>
      <c r="H50" s="123"/>
      <c r="I50" s="126"/>
      <c r="J50" s="131"/>
      <c r="K50" s="132"/>
      <c r="L50" s="127"/>
      <c r="M50" s="129"/>
      <c r="N50" s="130"/>
      <c r="O50" s="119"/>
      <c r="P50" s="121"/>
      <c r="Q50" s="122"/>
      <c r="R50" s="64" t="s">
        <v>193</v>
      </c>
      <c r="S50" s="105" t="s">
        <v>164</v>
      </c>
      <c r="T50" s="77"/>
      <c r="U50" s="65" t="s">
        <v>89</v>
      </c>
      <c r="V50" s="103" t="s">
        <v>126</v>
      </c>
      <c r="W50" s="40" t="s">
        <v>195</v>
      </c>
      <c r="X50" s="87" t="s">
        <v>37</v>
      </c>
      <c r="Y50" s="88" t="str">
        <f t="shared" si="11"/>
        <v/>
      </c>
      <c r="Z50" s="77"/>
      <c r="AA50" s="65"/>
      <c r="AB50" s="92"/>
      <c r="AC50" s="54"/>
      <c r="AD50" s="54"/>
      <c r="AE50" s="87"/>
      <c r="AF50" s="100"/>
      <c r="AG50" s="77"/>
      <c r="AH50" s="20"/>
      <c r="AI50" s="21"/>
      <c r="AJ50" s="35"/>
      <c r="AK50" s="43"/>
      <c r="AL50" s="44"/>
    </row>
    <row r="51" spans="3:38" ht="15" customHeight="1" x14ac:dyDescent="0.35">
      <c r="C51" s="133"/>
      <c r="D51" s="124"/>
      <c r="E51" s="124"/>
      <c r="F51" s="138"/>
      <c r="G51" s="125"/>
      <c r="H51" s="123"/>
      <c r="I51" s="126"/>
      <c r="J51" s="131"/>
      <c r="K51" s="132"/>
      <c r="L51" s="127"/>
      <c r="M51" s="129"/>
      <c r="N51" s="130"/>
      <c r="O51" s="119"/>
      <c r="P51" s="121"/>
      <c r="Q51" s="122"/>
      <c r="R51" s="64" t="s">
        <v>194</v>
      </c>
      <c r="S51" s="105" t="s">
        <v>164</v>
      </c>
      <c r="T51" s="77"/>
      <c r="U51" s="65" t="s">
        <v>89</v>
      </c>
      <c r="V51" s="103" t="s">
        <v>124</v>
      </c>
      <c r="W51" s="40" t="s">
        <v>195</v>
      </c>
      <c r="X51" s="87" t="s">
        <v>37</v>
      </c>
      <c r="Y51" s="88" t="str">
        <f t="shared" si="11"/>
        <v/>
      </c>
      <c r="Z51" s="77"/>
      <c r="AA51" s="65"/>
      <c r="AB51" s="92"/>
      <c r="AC51" s="54"/>
      <c r="AD51" s="54"/>
      <c r="AE51" s="87"/>
      <c r="AF51" s="100" t="str">
        <f t="shared" si="12"/>
        <v/>
      </c>
      <c r="AG51" s="77"/>
      <c r="AH51" s="20"/>
      <c r="AI51" s="21"/>
      <c r="AJ51" s="35"/>
      <c r="AK51" s="43"/>
      <c r="AL51" s="44"/>
    </row>
    <row r="52" spans="3:38" ht="15" customHeight="1" x14ac:dyDescent="0.35">
      <c r="C52" s="133"/>
      <c r="D52" s="124"/>
      <c r="E52" s="124"/>
      <c r="F52" s="138"/>
      <c r="G52" s="125"/>
      <c r="H52" s="123"/>
      <c r="I52" s="126"/>
      <c r="J52" s="131"/>
      <c r="K52" s="132"/>
      <c r="L52" s="127"/>
      <c r="M52" s="129"/>
      <c r="N52" s="130"/>
      <c r="O52" s="119"/>
      <c r="P52" s="121"/>
      <c r="Q52" s="122"/>
      <c r="R52" s="40"/>
      <c r="S52" s="105"/>
      <c r="T52" s="77"/>
      <c r="U52" s="65"/>
      <c r="V52" s="103"/>
      <c r="W52" s="40"/>
      <c r="X52" s="87"/>
      <c r="Y52" s="88" t="str">
        <f t="shared" si="11"/>
        <v/>
      </c>
      <c r="Z52" s="77"/>
      <c r="AA52" s="65"/>
      <c r="AB52" s="92"/>
      <c r="AC52" s="54"/>
      <c r="AD52" s="54"/>
      <c r="AE52" s="87"/>
      <c r="AF52" s="100" t="str">
        <f t="shared" si="12"/>
        <v/>
      </c>
      <c r="AG52" s="77"/>
      <c r="AH52" s="20"/>
      <c r="AI52" s="21"/>
      <c r="AJ52" s="35"/>
      <c r="AK52" s="43"/>
      <c r="AL52" s="44"/>
    </row>
    <row r="53" spans="3:38" ht="15" customHeight="1" x14ac:dyDescent="0.35">
      <c r="C53" s="133"/>
      <c r="D53" s="124"/>
      <c r="E53" s="124"/>
      <c r="F53" s="138"/>
      <c r="G53" s="125"/>
      <c r="H53" s="123"/>
      <c r="I53" s="126"/>
      <c r="J53" s="131"/>
      <c r="K53" s="132"/>
      <c r="L53" s="127"/>
      <c r="M53" s="129"/>
      <c r="N53" s="130"/>
      <c r="O53" s="120"/>
      <c r="P53" s="121"/>
      <c r="Q53" s="122"/>
      <c r="R53" s="61"/>
      <c r="S53" s="105"/>
      <c r="T53" s="77"/>
      <c r="U53" s="65"/>
      <c r="V53" s="103"/>
      <c r="W53" s="40"/>
      <c r="X53" s="87"/>
      <c r="Y53" s="88" t="str">
        <f t="shared" si="11"/>
        <v/>
      </c>
      <c r="Z53" s="77"/>
      <c r="AA53" s="65"/>
      <c r="AB53" s="92"/>
      <c r="AC53" s="54"/>
      <c r="AD53" s="54"/>
      <c r="AE53" s="87"/>
      <c r="AF53" s="100" t="str">
        <f t="shared" si="12"/>
        <v/>
      </c>
      <c r="AG53" s="77"/>
      <c r="AH53" s="20"/>
      <c r="AI53" s="21"/>
      <c r="AJ53" s="35"/>
      <c r="AK53" s="43"/>
      <c r="AL53" s="44"/>
    </row>
    <row r="54" spans="3:38" ht="15" customHeight="1" x14ac:dyDescent="0.35">
      <c r="C54" s="133">
        <v>10</v>
      </c>
      <c r="D54" s="124">
        <v>2</v>
      </c>
      <c r="E54" s="124" t="s">
        <v>28</v>
      </c>
      <c r="F54" s="138" t="s">
        <v>176</v>
      </c>
      <c r="G54" s="125" t="s">
        <v>140</v>
      </c>
      <c r="H54" s="123" t="s">
        <v>24</v>
      </c>
      <c r="I54" s="126" t="s">
        <v>25</v>
      </c>
      <c r="J54" s="131">
        <v>5</v>
      </c>
      <c r="K54" s="132">
        <v>88</v>
      </c>
      <c r="L54" s="127">
        <v>132</v>
      </c>
      <c r="M54" s="129">
        <v>0</v>
      </c>
      <c r="N54" s="130">
        <v>20</v>
      </c>
      <c r="O54" s="118">
        <f t="shared" ref="O54" si="17">SUM(M54:N57)</f>
        <v>20</v>
      </c>
      <c r="P54" s="121">
        <f t="shared" ref="P54" si="18">K54+L54+O54</f>
        <v>240</v>
      </c>
      <c r="Q54" s="122" t="s">
        <v>26</v>
      </c>
      <c r="R54" s="64" t="s">
        <v>201</v>
      </c>
      <c r="S54" s="105" t="s">
        <v>163</v>
      </c>
      <c r="T54" s="77"/>
      <c r="U54" s="65" t="s">
        <v>89</v>
      </c>
      <c r="V54" s="103" t="s">
        <v>121</v>
      </c>
      <c r="W54" s="40" t="s">
        <v>195</v>
      </c>
      <c r="X54" s="87" t="s">
        <v>37</v>
      </c>
      <c r="Y54" s="88" t="str">
        <f t="shared" si="11"/>
        <v/>
      </c>
      <c r="Z54" s="77"/>
      <c r="AA54" s="65"/>
      <c r="AB54" s="92"/>
      <c r="AC54" s="54"/>
      <c r="AD54" s="54"/>
      <c r="AE54" s="87"/>
      <c r="AF54" s="100" t="str">
        <f t="shared" si="12"/>
        <v/>
      </c>
      <c r="AG54" s="77"/>
      <c r="AH54" s="20"/>
      <c r="AI54" s="21"/>
      <c r="AJ54" s="35"/>
      <c r="AK54" s="43"/>
      <c r="AL54" s="44"/>
    </row>
    <row r="55" spans="3:38" ht="15" customHeight="1" x14ac:dyDescent="0.35">
      <c r="C55" s="133"/>
      <c r="D55" s="124"/>
      <c r="E55" s="124"/>
      <c r="F55" s="138"/>
      <c r="G55" s="125"/>
      <c r="H55" s="123"/>
      <c r="I55" s="126"/>
      <c r="J55" s="131"/>
      <c r="K55" s="132"/>
      <c r="L55" s="127"/>
      <c r="M55" s="129"/>
      <c r="N55" s="130"/>
      <c r="O55" s="119"/>
      <c r="P55" s="121"/>
      <c r="Q55" s="122"/>
      <c r="R55" s="64" t="s">
        <v>202</v>
      </c>
      <c r="S55" s="105" t="s">
        <v>164</v>
      </c>
      <c r="T55" s="77"/>
      <c r="U55" s="65" t="s">
        <v>89</v>
      </c>
      <c r="V55" s="103" t="s">
        <v>121</v>
      </c>
      <c r="W55" s="40" t="s">
        <v>195</v>
      </c>
      <c r="X55" s="87" t="s">
        <v>37</v>
      </c>
      <c r="Y55" s="88" t="str">
        <f t="shared" si="11"/>
        <v/>
      </c>
      <c r="Z55" s="77"/>
      <c r="AA55" s="65"/>
      <c r="AB55" s="92"/>
      <c r="AC55" s="54"/>
      <c r="AD55" s="54"/>
      <c r="AE55" s="87"/>
      <c r="AF55" s="100" t="str">
        <f t="shared" si="12"/>
        <v/>
      </c>
      <c r="AG55" s="77"/>
      <c r="AH55" s="20"/>
      <c r="AI55" s="21"/>
      <c r="AJ55" s="35"/>
      <c r="AK55" s="43"/>
      <c r="AL55" s="44"/>
    </row>
    <row r="56" spans="3:38" ht="15" customHeight="1" x14ac:dyDescent="0.35">
      <c r="C56" s="133"/>
      <c r="D56" s="124"/>
      <c r="E56" s="124"/>
      <c r="F56" s="138"/>
      <c r="G56" s="125"/>
      <c r="H56" s="123"/>
      <c r="I56" s="126"/>
      <c r="J56" s="131"/>
      <c r="K56" s="132"/>
      <c r="L56" s="127"/>
      <c r="M56" s="129"/>
      <c r="N56" s="130"/>
      <c r="O56" s="119"/>
      <c r="P56" s="121"/>
      <c r="Q56" s="122"/>
      <c r="R56" s="64" t="s">
        <v>203</v>
      </c>
      <c r="S56" s="108" t="s">
        <v>165</v>
      </c>
      <c r="T56" s="81"/>
      <c r="U56" s="65" t="s">
        <v>196</v>
      </c>
      <c r="V56" s="103" t="s">
        <v>121</v>
      </c>
      <c r="W56" s="40" t="s">
        <v>199</v>
      </c>
      <c r="X56" s="87" t="s">
        <v>37</v>
      </c>
      <c r="Y56" s="88" t="str">
        <f t="shared" si="11"/>
        <v>APLICA</v>
      </c>
      <c r="Z56" s="81"/>
      <c r="AA56" s="94"/>
      <c r="AB56" s="95"/>
      <c r="AC56" s="57"/>
      <c r="AE56" s="89"/>
      <c r="AF56" s="101" t="str">
        <f t="shared" si="12"/>
        <v/>
      </c>
      <c r="AG56" s="81"/>
      <c r="AH56" s="48"/>
      <c r="AI56" s="21"/>
      <c r="AJ56" s="35"/>
      <c r="AK56" s="43"/>
      <c r="AL56" s="44"/>
    </row>
    <row r="57" spans="3:38" ht="15" customHeight="1" thickBot="1" x14ac:dyDescent="0.4">
      <c r="C57" s="186"/>
      <c r="D57" s="187"/>
      <c r="E57" s="187"/>
      <c r="F57" s="188"/>
      <c r="G57" s="189"/>
      <c r="H57" s="190"/>
      <c r="I57" s="191"/>
      <c r="J57" s="192"/>
      <c r="K57" s="193"/>
      <c r="L57" s="194"/>
      <c r="M57" s="195"/>
      <c r="N57" s="196"/>
      <c r="O57" s="197"/>
      <c r="P57" s="198"/>
      <c r="Q57" s="189"/>
      <c r="R57" s="93" t="s">
        <v>209</v>
      </c>
      <c r="S57" s="109" t="s">
        <v>166</v>
      </c>
      <c r="T57" s="83"/>
      <c r="U57" s="66" t="s">
        <v>196</v>
      </c>
      <c r="V57" s="112" t="s">
        <v>121</v>
      </c>
      <c r="W57" s="52" t="s">
        <v>200</v>
      </c>
      <c r="X57" s="90" t="s">
        <v>37</v>
      </c>
      <c r="Y57" s="91" t="str">
        <f t="shared" si="11"/>
        <v>APLICA</v>
      </c>
      <c r="Z57" s="83"/>
      <c r="AA57" s="66" t="s">
        <v>92</v>
      </c>
      <c r="AB57" s="96" t="s">
        <v>211</v>
      </c>
      <c r="AC57" s="52" t="s">
        <v>121</v>
      </c>
      <c r="AD57" s="40" t="s">
        <v>208</v>
      </c>
      <c r="AE57" s="90" t="s">
        <v>37</v>
      </c>
      <c r="AF57" s="102" t="str">
        <f t="shared" si="12"/>
        <v>APLICA</v>
      </c>
      <c r="AG57" s="98"/>
      <c r="AH57" s="22"/>
      <c r="AI57" s="21"/>
      <c r="AJ57" s="35"/>
      <c r="AK57" s="43"/>
      <c r="AL57" s="44"/>
    </row>
  </sheetData>
  <sheetProtection algorithmName="SHA-512" hashValue="7THy1zgJzcaWid8Hb5vIsSVwGG9N/YmNCCJJPPBeCl7QRGxJvm5YozLfzBpIe3UJ6Yai+uR0Hyk9FCz6Ov16Vg==" saltValue="QBkML4Su/ZaPsJ17mrNe/A==" spinCount="100000" sheet="1" scenarios="1"/>
  <autoFilter ref="R8:S57" xr:uid="{882DBED0-2A96-4498-A425-B32E664116D2}"/>
  <mergeCells count="170">
    <mergeCell ref="O44:O48"/>
    <mergeCell ref="J49:J53"/>
    <mergeCell ref="K49:K53"/>
    <mergeCell ref="N44:N48"/>
    <mergeCell ref="P39:P43"/>
    <mergeCell ref="Q39:Q43"/>
    <mergeCell ref="O54:O57"/>
    <mergeCell ref="P54:P57"/>
    <mergeCell ref="Q54:Q57"/>
    <mergeCell ref="M44:M48"/>
    <mergeCell ref="M39:M43"/>
    <mergeCell ref="N39:N43"/>
    <mergeCell ref="O39:O43"/>
    <mergeCell ref="P44:P48"/>
    <mergeCell ref="Q44:Q48"/>
    <mergeCell ref="L44:L48"/>
    <mergeCell ref="F29:F33"/>
    <mergeCell ref="H29:H33"/>
    <mergeCell ref="C29:C33"/>
    <mergeCell ref="D29:D33"/>
    <mergeCell ref="C44:C48"/>
    <mergeCell ref="M49:M53"/>
    <mergeCell ref="L49:L53"/>
    <mergeCell ref="N49:N53"/>
    <mergeCell ref="C54:C57"/>
    <mergeCell ref="D54:D57"/>
    <mergeCell ref="E54:E57"/>
    <mergeCell ref="F54:F57"/>
    <mergeCell ref="G54:G57"/>
    <mergeCell ref="H54:H57"/>
    <mergeCell ref="I54:I57"/>
    <mergeCell ref="J54:J57"/>
    <mergeCell ref="K54:K57"/>
    <mergeCell ref="L54:L57"/>
    <mergeCell ref="M54:M57"/>
    <mergeCell ref="N54:N57"/>
    <mergeCell ref="K44:K48"/>
    <mergeCell ref="D49:D53"/>
    <mergeCell ref="E49:E53"/>
    <mergeCell ref="F49:F53"/>
    <mergeCell ref="C24:C28"/>
    <mergeCell ref="D24:D28"/>
    <mergeCell ref="E24:E28"/>
    <mergeCell ref="F24:F28"/>
    <mergeCell ref="G24:G28"/>
    <mergeCell ref="H24:H28"/>
    <mergeCell ref="I24:I28"/>
    <mergeCell ref="J24:J28"/>
    <mergeCell ref="K24:K28"/>
    <mergeCell ref="P24:P28"/>
    <mergeCell ref="Q24:Q28"/>
    <mergeCell ref="M34:M38"/>
    <mergeCell ref="O34:O38"/>
    <mergeCell ref="P34:P38"/>
    <mergeCell ref="Q34:Q38"/>
    <mergeCell ref="L29:L33"/>
    <mergeCell ref="M29:M33"/>
    <mergeCell ref="N29:N33"/>
    <mergeCell ref="O29:O33"/>
    <mergeCell ref="P29:P33"/>
    <mergeCell ref="Q29:Q33"/>
    <mergeCell ref="L34:L38"/>
    <mergeCell ref="N34:N38"/>
    <mergeCell ref="L24:L28"/>
    <mergeCell ref="M24:M28"/>
    <mergeCell ref="N24:N28"/>
    <mergeCell ref="C19:C23"/>
    <mergeCell ref="D19:D23"/>
    <mergeCell ref="E19:E23"/>
    <mergeCell ref="F19:F23"/>
    <mergeCell ref="G19:G23"/>
    <mergeCell ref="H19:H23"/>
    <mergeCell ref="I19:I23"/>
    <mergeCell ref="J19:J23"/>
    <mergeCell ref="K19:K23"/>
    <mergeCell ref="C9:C13"/>
    <mergeCell ref="C14:C18"/>
    <mergeCell ref="D14:D18"/>
    <mergeCell ref="E14:E18"/>
    <mergeCell ref="F14:F18"/>
    <mergeCell ref="G14:G18"/>
    <mergeCell ref="H14:H18"/>
    <mergeCell ref="I14:I18"/>
    <mergeCell ref="E9:E13"/>
    <mergeCell ref="H9:H13"/>
    <mergeCell ref="G9:G13"/>
    <mergeCell ref="F9:F13"/>
    <mergeCell ref="C7:C8"/>
    <mergeCell ref="F7:F8"/>
    <mergeCell ref="E7:E8"/>
    <mergeCell ref="D7:D8"/>
    <mergeCell ref="L7:L8"/>
    <mergeCell ref="I7:I8"/>
    <mergeCell ref="G7:G8"/>
    <mergeCell ref="M7:O7"/>
    <mergeCell ref="H7:H8"/>
    <mergeCell ref="J7:J8"/>
    <mergeCell ref="K7:K8"/>
    <mergeCell ref="AL7:AL8"/>
    <mergeCell ref="E29:E33"/>
    <mergeCell ref="G29:G33"/>
    <mergeCell ref="I29:I33"/>
    <mergeCell ref="J29:J33"/>
    <mergeCell ref="K29:K33"/>
    <mergeCell ref="AJ7:AJ8"/>
    <mergeCell ref="Q7:Q8"/>
    <mergeCell ref="P7:P8"/>
    <mergeCell ref="AK7:AK8"/>
    <mergeCell ref="AH7:AH8"/>
    <mergeCell ref="AI7:AI8"/>
    <mergeCell ref="Q9:Q13"/>
    <mergeCell ref="P9:P13"/>
    <mergeCell ref="O9:O13"/>
    <mergeCell ref="N9:N13"/>
    <mergeCell ref="M9:M13"/>
    <mergeCell ref="L9:L13"/>
    <mergeCell ref="K9:K13"/>
    <mergeCell ref="J9:J13"/>
    <mergeCell ref="I9:I13"/>
    <mergeCell ref="P14:P18"/>
    <mergeCell ref="Q14:Q18"/>
    <mergeCell ref="L19:L23"/>
    <mergeCell ref="C49:C53"/>
    <mergeCell ref="K39:K43"/>
    <mergeCell ref="G34:G38"/>
    <mergeCell ref="H34:H38"/>
    <mergeCell ref="F39:F43"/>
    <mergeCell ref="G39:G43"/>
    <mergeCell ref="H39:H43"/>
    <mergeCell ref="J44:J48"/>
    <mergeCell ref="F34:F38"/>
    <mergeCell ref="I39:I43"/>
    <mergeCell ref="J39:J43"/>
    <mergeCell ref="C39:C43"/>
    <mergeCell ref="D39:D43"/>
    <mergeCell ref="E39:E43"/>
    <mergeCell ref="C34:C38"/>
    <mergeCell ref="D34:D38"/>
    <mergeCell ref="E34:E38"/>
    <mergeCell ref="I34:I38"/>
    <mergeCell ref="J34:J38"/>
    <mergeCell ref="K34:K38"/>
    <mergeCell ref="G49:G53"/>
    <mergeCell ref="H49:H53"/>
    <mergeCell ref="I49:I53"/>
    <mergeCell ref="F44:F48"/>
    <mergeCell ref="R7:S7"/>
    <mergeCell ref="U7:AF7"/>
    <mergeCell ref="O49:O53"/>
    <mergeCell ref="P49:P53"/>
    <mergeCell ref="Q49:Q53"/>
    <mergeCell ref="H44:H48"/>
    <mergeCell ref="D44:D48"/>
    <mergeCell ref="E44:E48"/>
    <mergeCell ref="G44:G48"/>
    <mergeCell ref="I44:I48"/>
    <mergeCell ref="L39:L43"/>
    <mergeCell ref="D9:D13"/>
    <mergeCell ref="M19:M23"/>
    <mergeCell ref="N19:N23"/>
    <mergeCell ref="O19:O23"/>
    <mergeCell ref="P19:P23"/>
    <mergeCell ref="Q19:Q23"/>
    <mergeCell ref="J14:J18"/>
    <mergeCell ref="K14:K18"/>
    <mergeCell ref="L14:L18"/>
    <mergeCell ref="M14:M18"/>
    <mergeCell ref="N14:N18"/>
    <mergeCell ref="O14:O18"/>
    <mergeCell ref="O24:O28"/>
  </mergeCells>
  <phoneticPr fontId="4" type="noConversion"/>
  <conditionalFormatting sqref="U9:U57">
    <cfRule type="containsText" dxfId="19" priority="12" operator="containsText" text="Assessment">
      <formula>NOT(ISERROR(SEARCH("Assessment",U9)))</formula>
    </cfRule>
    <cfRule type="containsText" dxfId="18" priority="13" operator="containsText" text="Formativa ">
      <formula>NOT(ISERROR(SEARCH("Formativa ",U9)))</formula>
    </cfRule>
    <cfRule type="containsText" dxfId="17" priority="14" operator="containsText" text="F">
      <formula>NOT(ISERROR(SEARCH("F",U9)))</formula>
    </cfRule>
    <cfRule type="containsText" dxfId="16" priority="15" operator="containsText" text="A">
      <formula>NOT(ISERROR(SEARCH("A",U9)))</formula>
    </cfRule>
    <cfRule type="containsText" dxfId="15" priority="16" operator="containsText" text="F">
      <formula>NOT(ISERROR(SEARCH("F",U9)))</formula>
    </cfRule>
  </conditionalFormatting>
  <conditionalFormatting sqref="X9:Y57 AE9:AF57">
    <cfRule type="containsText" dxfId="14" priority="10" operator="containsText" text="APLICA">
      <formula>NOT(ISERROR(SEARCH("APLICA",X9)))</formula>
    </cfRule>
  </conditionalFormatting>
  <conditionalFormatting sqref="AA9:AA57">
    <cfRule type="containsText" dxfId="13" priority="4" operator="containsText" text="Formativa ">
      <formula>NOT(ISERROR(SEARCH("Formativa ",AA9)))</formula>
    </cfRule>
    <cfRule type="containsText" dxfId="12" priority="5" operator="containsText" text="F">
      <formula>NOT(ISERROR(SEARCH("F",AA9)))</formula>
    </cfRule>
    <cfRule type="containsText" dxfId="11" priority="6" operator="containsText" text="A">
      <formula>NOT(ISERROR(SEARCH("A",AA9)))</formula>
    </cfRule>
    <cfRule type="containsText" dxfId="10" priority="7" operator="containsText" text="F">
      <formula>NOT(ISERROR(SEARCH("F",AA9)))</formula>
    </cfRule>
  </conditionalFormatting>
  <conditionalFormatting sqref="AA9:AB57">
    <cfRule type="containsText" dxfId="9" priority="1" operator="containsText" text="Assessment">
      <formula>NOT(ISERROR(SEARCH("Assessment",AA9)))</formula>
    </cfRule>
  </conditionalFormatting>
  <conditionalFormatting sqref="AB9:AB57">
    <cfRule type="containsText" dxfId="8" priority="2" operator="containsText" text="Formativa">
      <formula>NOT(ISERROR(SEARCH("Formativa",AB9)))</formula>
    </cfRule>
  </conditionalFormatting>
  <conditionalFormatting sqref="AH9:AH26 AH28:AH36 AH38:AH57">
    <cfRule type="containsText" dxfId="7" priority="31" operator="containsText" text="Assessment">
      <formula>NOT(ISERROR(SEARCH("Assessment",AH9)))</formula>
    </cfRule>
    <cfRule type="containsText" dxfId="6" priority="32" operator="containsText" text="Formativa">
      <formula>NOT(ISERROR(SEARCH("Formativa",AH9)))</formula>
    </cfRule>
  </conditionalFormatting>
  <conditionalFormatting sqref="AI9:AI57">
    <cfRule type="containsText" dxfId="5" priority="59" operator="containsText" text="PMEA">
      <formula>NOT(ISERROR(SEARCH("PMEA",AI9)))</formula>
    </cfRule>
  </conditionalFormatting>
  <conditionalFormatting sqref="AJ9:AJ57">
    <cfRule type="containsText" dxfId="4" priority="34" operator="containsText" text="F">
      <formula>NOT(ISERROR(SEARCH("F",AJ9)))</formula>
    </cfRule>
    <cfRule type="containsText" dxfId="3" priority="35" operator="containsText" text="A">
      <formula>NOT(ISERROR(SEARCH("A",AJ9)))</formula>
    </cfRule>
    <cfRule type="containsText" dxfId="2" priority="36" operator="containsText" text="F">
      <formula>NOT(ISERROR(SEARCH("F",AJ9)))</formula>
    </cfRule>
  </conditionalFormatting>
  <dataValidations count="8">
    <dataValidation type="list" allowBlank="1" showInputMessage="1" showErrorMessage="1" sqref="AH9:AH26 AH28:AH36 AH61:AI100 AH38:AH57 AJ9:AJ57" xr:uid="{24364517-B329-42DE-8020-A787438A7978}">
      <formula1>TIPO</formula1>
    </dataValidation>
    <dataValidation type="list" allowBlank="1" showInputMessage="1" showErrorMessage="1" sqref="U9:U57" xr:uid="{84FE5E3B-1DE3-4A6B-A781-02DB43F05B08}">
      <formula1>"Formativa, Assessment RP"</formula1>
    </dataValidation>
    <dataValidation type="list" allowBlank="1" showInputMessage="1" showErrorMessage="1" sqref="AE9:AE57 X9:X57" xr:uid="{A7849CCB-7EA0-424C-A35D-56E429F0D480}">
      <formula1>"P1, P2, P3, FINAL"</formula1>
    </dataValidation>
    <dataValidation type="list" allowBlank="1" showInputMessage="1" showErrorMessage="1" sqref="AA9:AA57" xr:uid="{B31C6849-2DFC-4724-A9A2-F0981E063BEF}">
      <formula1>"Formativa, Assessment"</formula1>
    </dataValidation>
    <dataValidation type="list" allowBlank="1" showInputMessage="1" showErrorMessage="1" sqref="AB9:AB57" xr:uid="{3024E941-9B77-425B-86E8-37962532F857}">
      <formula1>"HE, AE, CE, HE-CE, CE-AE, AE-HE, HE-CE-AE"</formula1>
    </dataValidation>
    <dataValidation type="list" allowBlank="1" showInputMessage="1" showErrorMessage="1" sqref="W9:W10 W12:W57" xr:uid="{42DD8299-B08E-2040-BDB2-D9A62BE415E2}">
      <formula1>"EVA_MTDL_RP1, EVA_MTDL_RP2, EVA_MTDL_RP3, EVA_MTDL_RP4, RÚBRICA, CHECKLIST"</formula1>
    </dataValidation>
    <dataValidation type="list" allowBlank="1" showInputMessage="1" showErrorMessage="1" sqref="W11" xr:uid="{63B17AF9-094D-2945-8148-007FCD283FA8}">
      <formula1>"EVA_MTDL_RP1, EVA_MTDL_RP2, EVA_MTDL_RP3, EVA_MTDL_RP4, RÚBRICA, CHECKLIST, Numérico (Aplica solo para cuestionarios)"</formula1>
    </dataValidation>
    <dataValidation type="list" allowBlank="1" showInputMessage="1" showErrorMessage="1" sqref="AD9:AD55 AD57" xr:uid="{0B659F70-B21E-8E4D-8B24-44BEAF38A5E1}">
      <formula1>"EVA_MTDL_RP1, EVA_MTDL_RP2, EVA_MTDL_RP3, EVA_MTDL_RP4, RÚBRICA PROPIA, CHECKLIST, GUÍA DE OBSERVACIÓN"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580E70A-D3CB-4570-A5E0-083E9FE3E5BF}">
          <x14:formula1>
            <xm:f>'RC-RI'!$A$13:$A$17</xm:f>
          </x14:formula1>
          <xm:sqref>Q9:Q57</xm:sqref>
        </x14:dataValidation>
        <x14:dataValidation type="list" allowBlank="1" showInputMessage="1" showErrorMessage="1" xr:uid="{8D2F5017-2808-4676-93E9-54EB3DD9F1A2}">
          <x14:formula1>
            <xm:f>'RC-RI'!$B$22:$B$39</xm:f>
          </x14:formula1>
          <xm:sqref>AK9:AK57</xm:sqref>
        </x14:dataValidation>
        <x14:dataValidation type="list" allowBlank="1" showInputMessage="1" showErrorMessage="1" xr:uid="{18156B24-277C-4702-B52E-1FAEE4A995DC}">
          <x14:formula1>
            <xm:f>'RC-RI'!$C$2:$C$9</xm:f>
          </x14:formula1>
          <xm:sqref>AI9:AI57</xm:sqref>
        </x14:dataValidation>
        <x14:dataValidation type="list" allowBlank="1" showInputMessage="1" showErrorMessage="1" xr:uid="{C749B56B-860C-4942-9FB4-395130436E27}">
          <x14:formula1>
            <xm:f>'RC-RI'!$E$2:$E$13</xm:f>
          </x14:formula1>
          <xm:sqref>AL9:AL57</xm:sqref>
        </x14:dataValidation>
        <x14:dataValidation type="list" allowBlank="1" showInputMessage="1" showErrorMessage="1" xr:uid="{8BEC4BDC-A1E1-42F4-B057-544AB3E3EB83}">
          <x14:formula1>
            <xm:f>#REF!</xm:f>
          </x14:formula1>
          <xm:sqref>Z9:Z57 AG9:AG57 S34 S9:T33 S36:T57 T34:T35</xm:sqref>
        </x14:dataValidation>
        <x14:dataValidation type="list" allowBlank="1" showInputMessage="1" showErrorMessage="1" xr:uid="{F4998CBD-1B30-4673-92CC-0167591F78BD}">
          <x14:formula1>
            <xm:f>'Listas Desplegables'!$B$9:$B$26</xm:f>
          </x14:formula1>
          <xm:sqref>V9:V57</xm:sqref>
        </x14:dataValidation>
        <x14:dataValidation type="list" allowBlank="1" showInputMessage="1" showErrorMessage="1" xr:uid="{661ACC98-346E-45FE-8062-EBC6A3369C29}">
          <x14:formula1>
            <xm:f>'Listas Desplegables'!$D$9:$D$28</xm:f>
          </x14:formula1>
          <xm:sqref>AC9:AC57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D06A-926F-4AB5-9BA3-614FB5D37C01}">
  <sheetPr codeName="Hoja4"/>
  <dimension ref="B1:Q15"/>
  <sheetViews>
    <sheetView topLeftCell="A12" zoomScale="77" zoomScaleNormal="77" workbookViewId="0">
      <selection activeCell="A11" sqref="A1:XFD11"/>
    </sheetView>
  </sheetViews>
  <sheetFormatPr baseColWidth="10" defaultColWidth="10.81640625" defaultRowHeight="14.5" x14ac:dyDescent="0.35"/>
  <cols>
    <col min="1" max="1" width="10.81640625" style="12"/>
    <col min="2" max="2" width="22.54296875" style="12" bestFit="1" customWidth="1"/>
    <col min="3" max="3" width="23.81640625" style="12" bestFit="1" customWidth="1"/>
    <col min="4" max="4" width="22.81640625" style="12" bestFit="1" customWidth="1"/>
    <col min="5" max="5" width="28.54296875" style="12" bestFit="1" customWidth="1"/>
    <col min="6" max="6" width="25" style="12" bestFit="1" customWidth="1"/>
    <col min="7" max="8" width="10.81640625" style="12"/>
    <col min="9" max="9" width="20.453125" style="12" customWidth="1"/>
    <col min="10" max="10" width="17.54296875" style="12" customWidth="1"/>
    <col min="11" max="11" width="21.1796875" style="12" customWidth="1"/>
    <col min="12" max="12" width="20.54296875" style="12" customWidth="1"/>
    <col min="13" max="13" width="20" style="12" customWidth="1"/>
    <col min="14" max="14" width="16.54296875" style="12" customWidth="1"/>
    <col min="15" max="15" width="19.54296875" style="12" customWidth="1"/>
    <col min="16" max="16" width="20" style="12" customWidth="1"/>
    <col min="17" max="17" width="27.1796875" style="12" bestFit="1" customWidth="1"/>
    <col min="18" max="16384" width="10.81640625" style="12"/>
  </cols>
  <sheetData>
    <row r="1" spans="2:17" hidden="1" x14ac:dyDescent="0.35"/>
    <row r="2" spans="2:17" hidden="1" x14ac:dyDescent="0.35"/>
    <row r="3" spans="2:17" hidden="1" x14ac:dyDescent="0.35"/>
    <row r="4" spans="2:17" hidden="1" x14ac:dyDescent="0.35"/>
    <row r="5" spans="2:17" hidden="1" x14ac:dyDescent="0.35">
      <c r="I5" s="199" t="s">
        <v>40</v>
      </c>
      <c r="J5" s="199"/>
      <c r="K5" s="24" t="s">
        <v>41</v>
      </c>
      <c r="L5" s="200" t="s">
        <v>42</v>
      </c>
      <c r="M5" s="200"/>
      <c r="N5" s="201" t="s">
        <v>43</v>
      </c>
      <c r="O5" s="201"/>
      <c r="P5" s="202" t="s">
        <v>44</v>
      </c>
      <c r="Q5" s="202"/>
    </row>
    <row r="6" spans="2:17" ht="34" hidden="1" customHeight="1" x14ac:dyDescent="0.35">
      <c r="B6" s="23" t="s">
        <v>29</v>
      </c>
      <c r="C6" s="24" t="s">
        <v>45</v>
      </c>
      <c r="D6" s="25" t="s">
        <v>46</v>
      </c>
      <c r="E6" s="26" t="s">
        <v>32</v>
      </c>
      <c r="F6" s="27" t="s">
        <v>47</v>
      </c>
      <c r="I6" s="28" t="s">
        <v>48</v>
      </c>
      <c r="J6" s="28" t="s">
        <v>49</v>
      </c>
      <c r="K6" s="28" t="s">
        <v>50</v>
      </c>
      <c r="L6" s="28" t="s">
        <v>51</v>
      </c>
      <c r="M6" s="28" t="s">
        <v>52</v>
      </c>
      <c r="N6" s="28" t="s">
        <v>53</v>
      </c>
      <c r="O6" s="28" t="s">
        <v>54</v>
      </c>
      <c r="P6" s="28" t="s">
        <v>55</v>
      </c>
      <c r="Q6" s="28" t="s">
        <v>56</v>
      </c>
    </row>
    <row r="7" spans="2:17" ht="60" hidden="1" customHeight="1" x14ac:dyDescent="0.35">
      <c r="B7" s="28" t="s">
        <v>48</v>
      </c>
      <c r="C7" s="28" t="s">
        <v>50</v>
      </c>
      <c r="D7" s="28" t="s">
        <v>51</v>
      </c>
      <c r="E7" s="28" t="s">
        <v>53</v>
      </c>
      <c r="F7" s="28" t="s">
        <v>55</v>
      </c>
      <c r="I7" s="29" t="s">
        <v>57</v>
      </c>
      <c r="J7" s="29" t="s">
        <v>58</v>
      </c>
      <c r="K7" s="29" t="s">
        <v>59</v>
      </c>
      <c r="L7" s="29" t="s">
        <v>60</v>
      </c>
      <c r="M7" s="29" t="s">
        <v>61</v>
      </c>
      <c r="N7" s="29" t="s">
        <v>62</v>
      </c>
      <c r="O7" s="29" t="s">
        <v>63</v>
      </c>
      <c r="P7" s="29" t="s">
        <v>64</v>
      </c>
      <c r="Q7" s="29" t="s">
        <v>65</v>
      </c>
    </row>
    <row r="8" spans="2:17" ht="62.25" hidden="1" customHeight="1" x14ac:dyDescent="0.35">
      <c r="B8" s="28" t="s">
        <v>49</v>
      </c>
      <c r="C8" s="28"/>
      <c r="D8" s="28" t="s">
        <v>52</v>
      </c>
      <c r="E8" s="28" t="s">
        <v>54</v>
      </c>
      <c r="F8" s="28" t="s">
        <v>56</v>
      </c>
      <c r="I8" s="29" t="s">
        <v>66</v>
      </c>
      <c r="J8" s="29" t="s">
        <v>67</v>
      </c>
      <c r="K8" s="29" t="s">
        <v>68</v>
      </c>
      <c r="L8" s="29" t="s">
        <v>69</v>
      </c>
      <c r="M8" s="29" t="s">
        <v>70</v>
      </c>
      <c r="N8" s="29" t="s">
        <v>71</v>
      </c>
      <c r="O8" s="29" t="s">
        <v>72</v>
      </c>
      <c r="P8" s="29" t="s">
        <v>73</v>
      </c>
      <c r="Q8" s="29" t="s">
        <v>74</v>
      </c>
    </row>
    <row r="9" spans="2:17" ht="62.25" hidden="1" customHeight="1" x14ac:dyDescent="0.35">
      <c r="B9"/>
      <c r="C9" s="30"/>
      <c r="D9" s="30"/>
      <c r="E9" s="30"/>
      <c r="F9" s="30"/>
      <c r="I9" s="29" t="s">
        <v>75</v>
      </c>
      <c r="J9" s="31"/>
      <c r="K9" s="29" t="s">
        <v>76</v>
      </c>
      <c r="L9" s="29" t="s">
        <v>77</v>
      </c>
      <c r="M9" s="29" t="s">
        <v>78</v>
      </c>
      <c r="N9" s="29" t="s">
        <v>79</v>
      </c>
      <c r="O9" s="29" t="s">
        <v>80</v>
      </c>
      <c r="P9" s="29" t="s">
        <v>81</v>
      </c>
      <c r="Q9" s="29" t="s">
        <v>82</v>
      </c>
    </row>
    <row r="10" spans="2:17" ht="62.25" hidden="1" customHeight="1" x14ac:dyDescent="0.35">
      <c r="E10" s="32"/>
      <c r="F10" s="32"/>
      <c r="I10" s="29" t="s">
        <v>83</v>
      </c>
      <c r="J10" s="31"/>
      <c r="K10" s="33"/>
      <c r="L10" s="31"/>
      <c r="M10" s="29" t="s">
        <v>84</v>
      </c>
      <c r="N10" s="29" t="s">
        <v>85</v>
      </c>
      <c r="O10" s="31"/>
      <c r="P10" s="29" t="s">
        <v>86</v>
      </c>
      <c r="Q10" s="29" t="s">
        <v>87</v>
      </c>
    </row>
    <row r="11" spans="2:17" ht="62.25" hidden="1" customHeight="1" x14ac:dyDescent="0.35">
      <c r="D11" s="32"/>
      <c r="I11" s="31"/>
      <c r="J11" s="31"/>
      <c r="K11" s="31"/>
      <c r="L11" s="31"/>
      <c r="M11" s="31"/>
      <c r="N11" s="31"/>
      <c r="O11" s="31"/>
      <c r="P11" s="31"/>
      <c r="Q11" s="29" t="s">
        <v>88</v>
      </c>
    </row>
    <row r="12" spans="2:17" ht="26.25" customHeight="1" x14ac:dyDescent="0.35">
      <c r="D12" s="32"/>
      <c r="E12" s="32"/>
      <c r="F12" s="32"/>
      <c r="I12" s="31"/>
      <c r="J12" s="31"/>
      <c r="K12" s="31"/>
      <c r="L12" s="31"/>
      <c r="M12" s="31"/>
      <c r="N12" s="31"/>
      <c r="O12" s="31"/>
      <c r="P12" s="31"/>
      <c r="Q12" s="31"/>
    </row>
    <row r="13" spans="2:17" x14ac:dyDescent="0.35">
      <c r="D13" s="32"/>
      <c r="E13" s="32"/>
      <c r="F13" s="32"/>
    </row>
    <row r="14" spans="2:17" x14ac:dyDescent="0.35">
      <c r="F14" s="32"/>
    </row>
    <row r="15" spans="2:17" x14ac:dyDescent="0.35">
      <c r="F15" s="32"/>
    </row>
  </sheetData>
  <sheetProtection algorithmName="SHA-512" hashValue="F8pO3/NgvThzDtIhK00P4pZ4X2+JCS4E991GysYgOWlHH3KlnF6iZwrYqXypGVA4fzw3LpvCtclmUPwESMvP5w==" saltValue="j818LipCGE+/lwKDFAGCRw==" spinCount="100000" sheet="1" objects="1" scenarios="1" selectLockedCells="1" selectUnlockedCells="1"/>
  <mergeCells count="4">
    <mergeCell ref="I5:J5"/>
    <mergeCell ref="L5:M5"/>
    <mergeCell ref="N5:O5"/>
    <mergeCell ref="P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03EB-1345-4DF6-86C0-98A263A2138D}">
  <sheetPr codeName="Hoja5"/>
  <dimension ref="A1:I40"/>
  <sheetViews>
    <sheetView workbookViewId="0">
      <selection activeCell="A2" sqref="A2:A6"/>
    </sheetView>
  </sheetViews>
  <sheetFormatPr baseColWidth="10" defaultColWidth="11.453125" defaultRowHeight="14.5" x14ac:dyDescent="0.35"/>
  <cols>
    <col min="1" max="1" width="68.453125" customWidth="1"/>
    <col min="2" max="2" width="21.1796875" customWidth="1"/>
    <col min="3" max="3" width="33.1796875" bestFit="1" customWidth="1"/>
    <col min="4" max="5" width="38.453125" bestFit="1" customWidth="1"/>
  </cols>
  <sheetData>
    <row r="1" spans="1:9" ht="15" thickBot="1" x14ac:dyDescent="0.4">
      <c r="E1" t="s">
        <v>89</v>
      </c>
    </row>
    <row r="2" spans="1:9" x14ac:dyDescent="0.35">
      <c r="A2" s="6"/>
      <c r="C2" t="s">
        <v>29</v>
      </c>
      <c r="E2" t="s">
        <v>90</v>
      </c>
      <c r="F2" t="s">
        <v>89</v>
      </c>
    </row>
    <row r="3" spans="1:9" x14ac:dyDescent="0.35">
      <c r="A3" s="7"/>
      <c r="C3" t="s">
        <v>30</v>
      </c>
      <c r="E3" t="s">
        <v>91</v>
      </c>
      <c r="F3" t="s">
        <v>92</v>
      </c>
    </row>
    <row r="4" spans="1:9" x14ac:dyDescent="0.35">
      <c r="A4" s="8"/>
      <c r="C4" t="s">
        <v>31</v>
      </c>
      <c r="E4" t="s">
        <v>93</v>
      </c>
    </row>
    <row r="5" spans="1:9" x14ac:dyDescent="0.35">
      <c r="A5" s="7"/>
      <c r="C5" t="s">
        <v>32</v>
      </c>
      <c r="E5" t="s">
        <v>92</v>
      </c>
    </row>
    <row r="6" spans="1:9" x14ac:dyDescent="0.35">
      <c r="A6" s="8"/>
      <c r="C6" t="s">
        <v>33</v>
      </c>
      <c r="E6" t="s">
        <v>94</v>
      </c>
    </row>
    <row r="7" spans="1:9" x14ac:dyDescent="0.35">
      <c r="A7" s="7"/>
      <c r="C7" t="s">
        <v>34</v>
      </c>
      <c r="E7" t="s">
        <v>95</v>
      </c>
      <c r="I7" t="s">
        <v>92</v>
      </c>
    </row>
    <row r="8" spans="1:9" ht="15" thickBot="1" x14ac:dyDescent="0.4">
      <c r="A8" s="10"/>
      <c r="C8" t="s">
        <v>35</v>
      </c>
      <c r="E8" t="s">
        <v>96</v>
      </c>
    </row>
    <row r="9" spans="1:9" x14ac:dyDescent="0.35">
      <c r="A9" s="5"/>
      <c r="C9" t="s">
        <v>36</v>
      </c>
      <c r="E9" t="s">
        <v>97</v>
      </c>
    </row>
    <row r="10" spans="1:9" x14ac:dyDescent="0.35">
      <c r="A10" s="5"/>
      <c r="E10" t="s">
        <v>98</v>
      </c>
    </row>
    <row r="11" spans="1:9" x14ac:dyDescent="0.35">
      <c r="B11">
        <v>202310</v>
      </c>
      <c r="E11" t="s">
        <v>99</v>
      </c>
    </row>
    <row r="12" spans="1:9" x14ac:dyDescent="0.35">
      <c r="B12">
        <v>202320</v>
      </c>
      <c r="E12" t="s">
        <v>100</v>
      </c>
    </row>
    <row r="13" spans="1:9" x14ac:dyDescent="0.35">
      <c r="A13" s="5" t="s">
        <v>26</v>
      </c>
      <c r="B13">
        <v>202410</v>
      </c>
      <c r="E13" t="s">
        <v>101</v>
      </c>
    </row>
    <row r="14" spans="1:9" x14ac:dyDescent="0.35">
      <c r="A14" s="5" t="s">
        <v>102</v>
      </c>
      <c r="B14">
        <v>202420</v>
      </c>
      <c r="E14" t="s">
        <v>103</v>
      </c>
    </row>
    <row r="15" spans="1:9" x14ac:dyDescent="0.35">
      <c r="A15" s="5" t="s">
        <v>104</v>
      </c>
      <c r="B15">
        <v>202510</v>
      </c>
      <c r="E15" t="s">
        <v>105</v>
      </c>
    </row>
    <row r="16" spans="1:9" x14ac:dyDescent="0.35">
      <c r="A16" s="5" t="s">
        <v>106</v>
      </c>
      <c r="B16">
        <v>202520</v>
      </c>
      <c r="E16" t="s">
        <v>107</v>
      </c>
    </row>
    <row r="17" spans="1:5" x14ac:dyDescent="0.35">
      <c r="A17" s="5" t="s">
        <v>108</v>
      </c>
      <c r="B17">
        <v>202610</v>
      </c>
      <c r="E17" t="s">
        <v>109</v>
      </c>
    </row>
    <row r="18" spans="1:5" x14ac:dyDescent="0.35">
      <c r="B18">
        <v>202620</v>
      </c>
      <c r="E18" t="s">
        <v>110</v>
      </c>
    </row>
    <row r="19" spans="1:5" x14ac:dyDescent="0.35">
      <c r="E19" t="s">
        <v>111</v>
      </c>
    </row>
    <row r="22" spans="1:5" x14ac:dyDescent="0.35">
      <c r="B22" s="11" t="s">
        <v>112</v>
      </c>
      <c r="C22" s="2" t="s">
        <v>113</v>
      </c>
      <c r="D22" s="4" t="s">
        <v>89</v>
      </c>
      <c r="E22" s="4" t="s">
        <v>92</v>
      </c>
    </row>
    <row r="23" spans="1:5" x14ac:dyDescent="0.35">
      <c r="B23" s="11" t="s">
        <v>114</v>
      </c>
      <c r="C23" s="1" t="s">
        <v>115</v>
      </c>
      <c r="D23" s="3"/>
      <c r="E23" s="3" t="s">
        <v>94</v>
      </c>
    </row>
    <row r="24" spans="1:5" ht="29" x14ac:dyDescent="0.35">
      <c r="B24" s="11" t="s">
        <v>116</v>
      </c>
      <c r="C24" s="1" t="s">
        <v>92</v>
      </c>
      <c r="D24" s="3"/>
      <c r="E24" s="3" t="s">
        <v>95</v>
      </c>
    </row>
    <row r="25" spans="1:5" ht="29" x14ac:dyDescent="0.35">
      <c r="B25" s="11" t="s">
        <v>117</v>
      </c>
      <c r="D25" s="3"/>
      <c r="E25" s="3" t="s">
        <v>96</v>
      </c>
    </row>
    <row r="26" spans="1:5" x14ac:dyDescent="0.35">
      <c r="B26" s="11" t="s">
        <v>118</v>
      </c>
      <c r="D26" s="3"/>
      <c r="E26" s="3" t="s">
        <v>97</v>
      </c>
    </row>
    <row r="27" spans="1:5" x14ac:dyDescent="0.35">
      <c r="B27" s="11" t="s">
        <v>119</v>
      </c>
      <c r="D27" s="3"/>
      <c r="E27" s="3" t="s">
        <v>98</v>
      </c>
    </row>
    <row r="28" spans="1:5" x14ac:dyDescent="0.35">
      <c r="B28" s="11" t="s">
        <v>120</v>
      </c>
      <c r="D28" s="3"/>
      <c r="E28" s="3" t="s">
        <v>99</v>
      </c>
    </row>
    <row r="29" spans="1:5" x14ac:dyDescent="0.35">
      <c r="B29" s="11" t="s">
        <v>121</v>
      </c>
      <c r="C29" s="3" t="s">
        <v>90</v>
      </c>
      <c r="D29" s="3" t="s">
        <v>90</v>
      </c>
      <c r="E29" s="3" t="s">
        <v>100</v>
      </c>
    </row>
    <row r="30" spans="1:5" x14ac:dyDescent="0.35">
      <c r="B30" s="11" t="s">
        <v>122</v>
      </c>
      <c r="C30" s="3" t="s">
        <v>91</v>
      </c>
      <c r="D30" s="3" t="s">
        <v>91</v>
      </c>
      <c r="E30" s="3" t="s">
        <v>101</v>
      </c>
    </row>
    <row r="31" spans="1:5" x14ac:dyDescent="0.35">
      <c r="B31" s="11" t="s">
        <v>123</v>
      </c>
      <c r="C31" s="3" t="s">
        <v>93</v>
      </c>
      <c r="D31" s="3" t="s">
        <v>93</v>
      </c>
      <c r="E31" s="3" t="s">
        <v>103</v>
      </c>
    </row>
    <row r="32" spans="1:5" x14ac:dyDescent="0.35">
      <c r="B32" s="11" t="s">
        <v>124</v>
      </c>
      <c r="C32" s="41" t="s">
        <v>125</v>
      </c>
      <c r="D32" s="3" t="s">
        <v>94</v>
      </c>
      <c r="E32" s="3" t="s">
        <v>105</v>
      </c>
    </row>
    <row r="33" spans="2:5" x14ac:dyDescent="0.35">
      <c r="B33" s="11" t="s">
        <v>126</v>
      </c>
      <c r="C33" s="41" t="s">
        <v>127</v>
      </c>
      <c r="D33" s="3" t="s">
        <v>95</v>
      </c>
      <c r="E33" s="3" t="s">
        <v>107</v>
      </c>
    </row>
    <row r="34" spans="2:5" x14ac:dyDescent="0.35">
      <c r="B34" s="11" t="s">
        <v>128</v>
      </c>
      <c r="C34" s="41" t="s">
        <v>129</v>
      </c>
      <c r="D34" s="3" t="s">
        <v>96</v>
      </c>
      <c r="E34" s="3" t="s">
        <v>109</v>
      </c>
    </row>
    <row r="35" spans="2:5" ht="29" x14ac:dyDescent="0.35">
      <c r="B35" s="11" t="s">
        <v>130</v>
      </c>
      <c r="C35" s="41" t="s">
        <v>131</v>
      </c>
      <c r="D35" s="3" t="s">
        <v>97</v>
      </c>
      <c r="E35" s="3" t="s">
        <v>110</v>
      </c>
    </row>
    <row r="36" spans="2:5" x14ac:dyDescent="0.35">
      <c r="B36" s="11" t="s">
        <v>132</v>
      </c>
      <c r="C36" s="41" t="s">
        <v>137</v>
      </c>
      <c r="D36" s="3" t="s">
        <v>98</v>
      </c>
      <c r="E36" s="3" t="s">
        <v>111</v>
      </c>
    </row>
    <row r="37" spans="2:5" x14ac:dyDescent="0.35">
      <c r="B37" s="11" t="s">
        <v>133</v>
      </c>
      <c r="C37" s="41" t="s">
        <v>138</v>
      </c>
      <c r="D37" s="3" t="s">
        <v>99</v>
      </c>
    </row>
    <row r="38" spans="2:5" x14ac:dyDescent="0.35">
      <c r="B38" s="11" t="s">
        <v>134</v>
      </c>
      <c r="C38" s="41" t="s">
        <v>135</v>
      </c>
      <c r="D38" s="3" t="s">
        <v>100</v>
      </c>
    </row>
    <row r="39" spans="2:5" x14ac:dyDescent="0.35">
      <c r="B39" s="11" t="s">
        <v>136</v>
      </c>
      <c r="D39" s="3" t="s">
        <v>101</v>
      </c>
    </row>
    <row r="40" spans="2:5" x14ac:dyDescent="0.35">
      <c r="D40" s="3"/>
    </row>
  </sheetData>
  <sheetProtection selectLockedCells="1" selectUnlockedCells="1"/>
  <autoFilter ref="C22:E22" xr:uid="{27C703EB-1345-4DF6-86C0-98A263A2138D}"/>
  <phoneticPr fontId="4" type="noConversion"/>
  <conditionalFormatting sqref="A2:A8">
    <cfRule type="cellIs" dxfId="1" priority="1" operator="lessThan">
      <formula>3</formula>
    </cfRule>
    <cfRule type="cellIs" dxfId="0" priority="2" operator="lessThan">
      <formula>5</formula>
    </cfRule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d78545-7891-4910-8fd0-6c1d0b958582">
      <Terms xmlns="http://schemas.microsoft.com/office/infopath/2007/PartnerControls"/>
    </lcf76f155ced4ddcb4097134ff3c332f>
    <TaxCatchAll xmlns="af194f18-3bbd-4850-9351-ffc221f099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E76011BF4E904A9291154D45363CAE" ma:contentTypeVersion="11" ma:contentTypeDescription="Create a new document." ma:contentTypeScope="" ma:versionID="07435550f2dfaec9319d67395fd49839">
  <xsd:schema xmlns:xsd="http://www.w3.org/2001/XMLSchema" xmlns:xs="http://www.w3.org/2001/XMLSchema" xmlns:p="http://schemas.microsoft.com/office/2006/metadata/properties" xmlns:ns2="bdd78545-7891-4910-8fd0-6c1d0b958582" xmlns:ns3="af194f18-3bbd-4850-9351-ffc221f09935" targetNamespace="http://schemas.microsoft.com/office/2006/metadata/properties" ma:root="true" ma:fieldsID="206e51c87da4a4372a8c55b16df9d240" ns2:_="" ns3:_="">
    <xsd:import namespace="bdd78545-7891-4910-8fd0-6c1d0b958582"/>
    <xsd:import namespace="af194f18-3bbd-4850-9351-ffc221f099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d78545-7891-4910-8fd0-6c1d0b9585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61b30f-9ea3-4d2d-8a8c-635799609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94f18-3bbd-4850-9351-ffc221f099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4add89d-3029-41f6-802b-43989f24ebe9}" ma:internalName="TaxCatchAll" ma:showField="CatchAllData" ma:web="af194f18-3bbd-4850-9351-ffc221f099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D74BD-CB2E-4189-B1BB-4162F2B3C355}">
  <ds:schemaRefs>
    <ds:schemaRef ds:uri="http://purl.org/dc/elements/1.1/"/>
    <ds:schemaRef ds:uri="50f42a7c-ed40-4cb0-835b-2d582b151e18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7E48878-B957-47AE-8AB0-E7E762F1F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48FED-5C8F-40C8-B306-1AC8D9A80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Listas Desplegables</vt:lpstr>
      <vt:lpstr>UDLA5H116</vt:lpstr>
      <vt:lpstr>Hoja3</vt:lpstr>
      <vt:lpstr>RC-RI</vt:lpstr>
      <vt:lpstr>Assessment</vt:lpstr>
      <vt:lpstr>Formativa</vt:lpstr>
      <vt:lpstr>SELE</vt:lpstr>
      <vt:lpstr>TIPO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Emilia Rios</dc:creator>
  <cp:keywords/>
  <dc:description/>
  <cp:lastModifiedBy>Lisette Edelma Guzmán</cp:lastModifiedBy>
  <cp:revision/>
  <dcterms:created xsi:type="dcterms:W3CDTF">2022-04-29T17:28:17Z</dcterms:created>
  <dcterms:modified xsi:type="dcterms:W3CDTF">2025-10-20T20:41:24Z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0x010100BAE76011BF4E904A9291154D45363CAE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Order">
    <vt:r8>38900</vt:r8>
  </property>
  <property fmtid="{D5CDD505-2E9C-101B-9397-08002B2CF9AE}" pid="11" name="_SourceUrl">
    <vt:lpwstr/>
  </property>
  <property fmtid="{D5CDD505-2E9C-101B-9397-08002B2CF9AE}" pid="12" name="_SharedFileIndex">
    <vt:lpwstr/>
  </property>
</Properties>
</file>